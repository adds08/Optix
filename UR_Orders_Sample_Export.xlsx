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R Orders Sample" sheetId="1" state="visible" r:id="rId3"/>
    <sheet name="Summary" sheetId="2" state="visible" r:id="rId4"/>
  </sheets>
  <definedNames>
    <definedName function="false" hidden="true" localSheetId="0" name="_xlnm._FilterDatabase" vbProcedure="false">'UR Orders Sample'!$A$1:$J$138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<sst xmlns="http://schemas.openxmlformats.org/spreadsheetml/2006/main" count="1123" uniqueCount="364">
  <si>
    <t xml:space="preserve">Order Type</t>
  </si>
  <si>
    <t xml:space="preserve">Contract/Quote #</t>
  </si>
  <si>
    <t xml:space="preserve">Start Date</t>
  </si>
  <si>
    <t xml:space="preserve">End Date</t>
  </si>
  <si>
    <t xml:space="preserve">Jobsite</t>
  </si>
  <si>
    <t xml:space="preserve">Ordered By</t>
  </si>
  <si>
    <t xml:space="preserve">Item Name</t>
  </si>
  <si>
    <t xml:space="preserve">Cat Class</t>
  </si>
  <si>
    <t xml:space="preserve">Qty</t>
  </si>
  <si>
    <t xml:space="preserve">Notes</t>
  </si>
  <si>
    <t xml:space="preserve">Quote</t>
  </si>
  <si>
    <t xml:space="preserve">260816452</t>
  </si>
  <si>
    <t xml:space="preserve">12/04/2026</t>
  </si>
  <si>
    <t xml:space="preserve">01/01/2027</t>
  </si>
  <si>
    <t xml:space="preserve">TXDOT PUMP STATION IMPROVEMENT</t>
  </si>
  <si>
    <t xml:space="preserve">Martha Gonazalez-Munoz</t>
  </si>
  <si>
    <t xml:space="preserve">Vacuum Assisted Pump, 12 in. by 8 in., Diesel Powered</t>
  </si>
  <si>
    <t xml:space="preserve">520-6005</t>
  </si>
  <si>
    <t xml:space="preserve">Float Switch</t>
  </si>
  <si>
    <t xml:space="preserve">545-6901</t>
  </si>
  <si>
    <t xml:space="preserve">18" HDPE FLG W/BACKUP RING</t>
  </si>
  <si>
    <t xml:space="preserve">545-2421</t>
  </si>
  <si>
    <t xml:space="preserve">HDPE Pipe, 18 in., 90-Degree Elbow</t>
  </si>
  <si>
    <t xml:space="preserve">545-2419</t>
  </si>
  <si>
    <t xml:space="preserve">18" HDPE DIP TUBE</t>
  </si>
  <si>
    <t xml:space="preserve">545-2519</t>
  </si>
  <si>
    <t xml:space="preserve">More line items on UR site (truncated by 'Show all')</t>
  </si>
  <si>
    <t xml:space="preserve">260816479</t>
  </si>
  <si>
    <t xml:space="preserve">265091821</t>
  </si>
  <si>
    <t xml:space="preserve">08/03/2026</t>
  </si>
  <si>
    <t xml:space="preserve">08/10/2026</t>
  </si>
  <si>
    <t xml:space="preserve">FARMERS BRANCH BYPASS</t>
  </si>
  <si>
    <t xml:space="preserve">Zach Kesler</t>
  </si>
  <si>
    <t xml:space="preserve">Vacuum Assisted Pump, 4 in., Diesel Powered</t>
  </si>
  <si>
    <t xml:space="preserve">520-1003</t>
  </si>
  <si>
    <t xml:space="preserve">Rubber Hose, 4" x 20', Suction, Camlock Fittings</t>
  </si>
  <si>
    <t xml:space="preserve">536-2920</t>
  </si>
  <si>
    <t xml:space="preserve">Rubber Discharge Hose, 4 in. by 50 ft., Camlock</t>
  </si>
  <si>
    <t xml:space="preserve">536-6820</t>
  </si>
  <si>
    <t xml:space="preserve">MISC FITTINGS</t>
  </si>
  <si>
    <t xml:space="preserve">545-1111</t>
  </si>
  <si>
    <t xml:space="preserve">264356499</t>
  </si>
  <si>
    <t xml:space="preserve">08/01/2026</t>
  </si>
  <si>
    <t xml:space="preserve">08/08/2026</t>
  </si>
  <si>
    <t xml:space="preserve">RICHARDSON JOB</t>
  </si>
  <si>
    <t xml:space="preserve">Eduardo Reyna</t>
  </si>
  <si>
    <t xml:space="preserve">450kW Towable Generator, Diesel</t>
  </si>
  <si>
    <t xml:space="preserve">240-3410</t>
  </si>
  <si>
    <t xml:space="preserve">261681888</t>
  </si>
  <si>
    <t xml:space="preserve">07/30/2026</t>
  </si>
  <si>
    <t xml:space="preserve">08/27/2026</t>
  </si>
  <si>
    <t xml:space="preserve">CRWS STAGE IX ODOR CONTROL</t>
  </si>
  <si>
    <t xml:space="preserve">Pump 12"dba-silncer Super Vac Assist-dsl</t>
  </si>
  <si>
    <t xml:space="preserve">520-4009</t>
  </si>
  <si>
    <t xml:space="preserve">12" INLINE STRAINER</t>
  </si>
  <si>
    <t xml:space="preserve">545-7220</t>
  </si>
  <si>
    <t xml:space="preserve">12" HDPE DIP TUBE</t>
  </si>
  <si>
    <t xml:space="preserve">545-2512</t>
  </si>
  <si>
    <t xml:space="preserve">Auto Dial Monitor System</t>
  </si>
  <si>
    <t xml:space="preserve">523-1000</t>
  </si>
  <si>
    <t xml:space="preserve">261681540</t>
  </si>
  <si>
    <t xml:space="preserve">264950684</t>
  </si>
  <si>
    <t xml:space="preserve">07/20/2026</t>
  </si>
  <si>
    <t xml:space="preserve">08/17/2026</t>
  </si>
  <si>
    <t xml:space="preserve">BUFFALO CREEK LIFT STATION #2</t>
  </si>
  <si>
    <t xml:space="preserve">Akram Omar</t>
  </si>
  <si>
    <t xml:space="preserve">TRENCH BOX 10' X 20' (6" SKE)</t>
  </si>
  <si>
    <t xml:space="preserve">941-8549</t>
  </si>
  <si>
    <t xml:space="preserve">Spreader Bar (kit) 8" X 5'</t>
  </si>
  <si>
    <t xml:space="preserve">940-5508</t>
  </si>
  <si>
    <t xml:space="preserve">8" Spreader Bar (linear Feet)</t>
  </si>
  <si>
    <t xml:space="preserve">940-5655</t>
  </si>
  <si>
    <t xml:space="preserve">SPREADER BAR PIN 10"</t>
  </si>
  <si>
    <t xml:space="preserve">941-8101</t>
  </si>
  <si>
    <t xml:space="preserve">8 ft. by 20 ft. Steel Road Plate</t>
  </si>
  <si>
    <t xml:space="preserve">944-9946</t>
  </si>
  <si>
    <t xml:space="preserve">263713528</t>
  </si>
  <si>
    <t xml:space="preserve">W LUCAS RD</t>
  </si>
  <si>
    <t xml:space="preserve">Wide Flange Beam 14" (linear Feet)</t>
  </si>
  <si>
    <t xml:space="preserve">943-2200</t>
  </si>
  <si>
    <t xml:space="preserve">4 ft. by 16 ft. Steel Road Plate</t>
  </si>
  <si>
    <t xml:space="preserve">944-9820</t>
  </si>
  <si>
    <t xml:space="preserve">Open Contract</t>
  </si>
  <si>
    <t xml:space="preserve">264038032</t>
  </si>
  <si>
    <t xml:space="preserve">06/24/2026</t>
  </si>
  <si>
    <t xml:space="preserve">07/22/2026</t>
  </si>
  <si>
    <t xml:space="preserve">3126 FM1139</t>
  </si>
  <si>
    <t xml:space="preserve">Miguel Perez</t>
  </si>
  <si>
    <t xml:space="preserve">TRENCH BOX 4' X 20' (6" WALL)</t>
  </si>
  <si>
    <t xml:space="preserve">941-8244</t>
  </si>
  <si>
    <t xml:space="preserve">TRENCH BOX 10' X 20' (6" FB)</t>
  </si>
  <si>
    <t xml:space="preserve">941-8548</t>
  </si>
  <si>
    <t xml:space="preserve">Spreader Bar (kit) 8" X 3'</t>
  </si>
  <si>
    <t xml:space="preserve">940-5504</t>
  </si>
  <si>
    <t xml:space="preserve">264222852</t>
  </si>
  <si>
    <t xml:space="preserve">Closed Contract</t>
  </si>
  <si>
    <t xml:space="preserve">263720447</t>
  </si>
  <si>
    <t xml:space="preserve">06/17/2026</t>
  </si>
  <si>
    <t xml:space="preserve">07/23/2026</t>
  </si>
  <si>
    <t xml:space="preserve">LITTLE ELM</t>
  </si>
  <si>
    <t xml:space="preserve">Prajwal Shrestha</t>
  </si>
  <si>
    <t xml:space="preserve">4,000 Gal. Water Truck, Diesel, CDL</t>
  </si>
  <si>
    <t xml:space="preserve">953-2227</t>
  </si>
  <si>
    <t xml:space="preserve">263574513</t>
  </si>
  <si>
    <t xml:space="preserve">06/15/2026</t>
  </si>
  <si>
    <t xml:space="preserve">ROCKWALL PROJECT</t>
  </si>
  <si>
    <t xml:space="preserve">2,000 Gal. Water Truck, Diesel</t>
  </si>
  <si>
    <t xml:space="preserve">953-2224</t>
  </si>
  <si>
    <t xml:space="preserve">263395107</t>
  </si>
  <si>
    <t xml:space="preserve">06/09/2026</t>
  </si>
  <si>
    <t xml:space="preserve">06/14/2026</t>
  </si>
  <si>
    <t xml:space="preserve">BECK PROJECT</t>
  </si>
  <si>
    <t xml:space="preserve">Eduardo Onsite</t>
  </si>
  <si>
    <t xml:space="preserve">Towable Air Compressor, 185 CFM, Tier 4, Diesel Powered</t>
  </si>
  <si>
    <t xml:space="preserve">100-3186</t>
  </si>
  <si>
    <t xml:space="preserve">Air Rivet Buster, 22 in.</t>
  </si>
  <si>
    <t xml:space="preserve">110-0013</t>
  </si>
  <si>
    <t xml:space="preserve">Moil Point Pavement Breaker Chisel, 1-1/8 in. by 6 in.</t>
  </si>
  <si>
    <t xml:space="preserve">110-4435</t>
  </si>
  <si>
    <t xml:space="preserve">Pavement Breaker Chisel, 1 1/8 in. by 6 in.</t>
  </si>
  <si>
    <t xml:space="preserve">110-4165</t>
  </si>
  <si>
    <t xml:space="preserve">Air Hose, 50 ft. by 3/4 in.</t>
  </si>
  <si>
    <t xml:space="preserve">110-2400</t>
  </si>
  <si>
    <t xml:space="preserve">263392234</t>
  </si>
  <si>
    <t xml:space="preserve">07/07/2026</t>
  </si>
  <si>
    <t xml:space="preserve">Rafael Herrera</t>
  </si>
  <si>
    <t xml:space="preserve">8 ft. by 10 ft. Steel Road Plate</t>
  </si>
  <si>
    <t xml:space="preserve">944-9942</t>
  </si>
  <si>
    <t xml:space="preserve">263316715</t>
  </si>
  <si>
    <t xml:space="preserve">06/08/2026</t>
  </si>
  <si>
    <t xml:space="preserve">06/12/2026</t>
  </si>
  <si>
    <t xml:space="preserve">263032559</t>
  </si>
  <si>
    <t xml:space="preserve">06/01/2026</t>
  </si>
  <si>
    <t xml:space="preserve">06/29/2026</t>
  </si>
  <si>
    <t xml:space="preserve">262960694</t>
  </si>
  <si>
    <t xml:space="preserve">05/29/2026</t>
  </si>
  <si>
    <t xml:space="preserve">500 lb. Hydraulic Breaker Attachment for Mini Excavator</t>
  </si>
  <si>
    <t xml:space="preserve">907-0570</t>
  </si>
  <si>
    <t xml:space="preserve">262920132</t>
  </si>
  <si>
    <t xml:space="preserve">05/28/2026</t>
  </si>
  <si>
    <t xml:space="preserve">06/25/2026</t>
  </si>
  <si>
    <t xml:space="preserve">STACKING PINS FOR STEEL BOXES</t>
  </si>
  <si>
    <t xml:space="preserve">941-8103</t>
  </si>
  <si>
    <t xml:space="preserve">262883960</t>
  </si>
  <si>
    <t xml:space="preserve">05/27/2026</t>
  </si>
  <si>
    <t xml:space="preserve">SELMA PROJECT</t>
  </si>
  <si>
    <t xml:space="preserve">Aryana Jeminez</t>
  </si>
  <si>
    <t xml:space="preserve">Demolition Breaker Hammer, Electric-powered, 60 lbs.</t>
  </si>
  <si>
    <t xml:space="preserve">190-2200</t>
  </si>
  <si>
    <t xml:space="preserve">262845083</t>
  </si>
  <si>
    <t xml:space="preserve">06/03/2026</t>
  </si>
  <si>
    <t xml:space="preserve">SLING CHAIN 3/8" X 10'</t>
  </si>
  <si>
    <t xml:space="preserve">330-6990</t>
  </si>
  <si>
    <t xml:space="preserve">Spreader Bar (kit) 8" X 10'</t>
  </si>
  <si>
    <t xml:space="preserve">940-5518</t>
  </si>
  <si>
    <t xml:space="preserve">262651963</t>
  </si>
  <si>
    <t xml:space="preserve">05/21/2026</t>
  </si>
  <si>
    <t xml:space="preserve">05/22/2026</t>
  </si>
  <si>
    <t xml:space="preserve">Chain Hoist, 3 Tons, Electric Powered</t>
  </si>
  <si>
    <t xml:space="preserve">260-1817</t>
  </si>
  <si>
    <t xml:space="preserve">260292514</t>
  </si>
  <si>
    <t xml:space="preserve">03/24/2026</t>
  </si>
  <si>
    <t xml:space="preserve">05/19/2026</t>
  </si>
  <si>
    <t xml:space="preserve">WILSON CREEK WWTP</t>
  </si>
  <si>
    <t xml:space="preserve">6 ft. by 10 ft. Steel Road Plate</t>
  </si>
  <si>
    <t xml:space="preserve">944-9930</t>
  </si>
  <si>
    <t xml:space="preserve">260209514</t>
  </si>
  <si>
    <t xml:space="preserve">03/23/2026</t>
  </si>
  <si>
    <t xml:space="preserve">04/06/2026</t>
  </si>
  <si>
    <t xml:space="preserve">Trench Box, 10 ft. by 10 ft.</t>
  </si>
  <si>
    <t xml:space="preserve">941-8510</t>
  </si>
  <si>
    <t xml:space="preserve">Spreader Bar (kit) 8" X 4'</t>
  </si>
  <si>
    <t xml:space="preserve">940-5506</t>
  </si>
  <si>
    <t xml:space="preserve">260209055</t>
  </si>
  <si>
    <t xml:space="preserve">259941700</t>
  </si>
  <si>
    <t xml:space="preserve">03/16/2026</t>
  </si>
  <si>
    <t xml:space="preserve">03/20/2026</t>
  </si>
  <si>
    <t xml:space="preserve">4TH ARMY</t>
  </si>
  <si>
    <t xml:space="preserve">78,000-84,000 lb. Excavator</t>
  </si>
  <si>
    <t xml:space="preserve">905-1150</t>
  </si>
  <si>
    <t xml:space="preserve">2.92 cubic yd. Bucket Attachment for Excavator</t>
  </si>
  <si>
    <t xml:space="preserve">905-5060</t>
  </si>
  <si>
    <t xml:space="preserve">259786393</t>
  </si>
  <si>
    <t xml:space="preserve">03/12/2026</t>
  </si>
  <si>
    <t xml:space="preserve">04/07/2026</t>
  </si>
  <si>
    <t xml:space="preserve">5' Shore 34-55" Cylinder</t>
  </si>
  <si>
    <t xml:space="preserve">942-1270</t>
  </si>
  <si>
    <t xml:space="preserve">Fin Board, 4 ft. by 8 ft.</t>
  </si>
  <si>
    <t xml:space="preserve">940-6960</t>
  </si>
  <si>
    <t xml:space="preserve">259434747</t>
  </si>
  <si>
    <t xml:space="preserve">03/04/2026</t>
  </si>
  <si>
    <t xml:space="preserve">1.5' Shore 28-46" Cylinder</t>
  </si>
  <si>
    <t xml:space="preserve">942-1020</t>
  </si>
  <si>
    <t xml:space="preserve">Shoring Hand Pump</t>
  </si>
  <si>
    <t xml:space="preserve">940-6950</t>
  </si>
  <si>
    <t xml:space="preserve">Hydraulic Trench Release Tool, 48 in.</t>
  </si>
  <si>
    <t xml:space="preserve">940-6850</t>
  </si>
  <si>
    <t xml:space="preserve">Trench Shore Removal Hook, 48 in.</t>
  </si>
  <si>
    <t xml:space="preserve">940-6910</t>
  </si>
  <si>
    <t xml:space="preserve">259251596</t>
  </si>
  <si>
    <t xml:space="preserve">02/26/2026</t>
  </si>
  <si>
    <t xml:space="preserve">03/03/2026</t>
  </si>
  <si>
    <t xml:space="preserve">GATEWAY DR &amp; PGA PKWY</t>
  </si>
  <si>
    <t xml:space="preserve">259207630</t>
  </si>
  <si>
    <t xml:space="preserve">02/25/2026</t>
  </si>
  <si>
    <t xml:space="preserve">03/31/2026</t>
  </si>
  <si>
    <t xml:space="preserve">GRAPEVINE</t>
  </si>
  <si>
    <t xml:space="preserve">258955744</t>
  </si>
  <si>
    <t xml:space="preserve">02/19/2026</t>
  </si>
  <si>
    <t xml:space="preserve">02/20/2026</t>
  </si>
  <si>
    <t xml:space="preserve">OFFICE</t>
  </si>
  <si>
    <t xml:space="preserve">Saul Maldonado</t>
  </si>
  <si>
    <t xml:space="preserve">Walk-behind Concrete Planer, 8 in., Gas Powered</t>
  </si>
  <si>
    <t xml:space="preserve">220-5425</t>
  </si>
  <si>
    <t xml:space="preserve">258768775</t>
  </si>
  <si>
    <t xml:space="preserve">02/13/2026</t>
  </si>
  <si>
    <t xml:space="preserve">04/14/2026</t>
  </si>
  <si>
    <t xml:space="preserve">URBAN INFRACONSTRUCTION LLC</t>
  </si>
  <si>
    <t xml:space="preserve">Santiago Hernandez</t>
  </si>
  <si>
    <t xml:space="preserve">Standard Porta Potty</t>
  </si>
  <si>
    <t xml:space="preserve">600-2410</t>
  </si>
  <si>
    <t xml:space="preserve">SERVICE - RESTROOM 1X WEEKLY</t>
  </si>
  <si>
    <t xml:space="preserve">075-2070</t>
  </si>
  <si>
    <t xml:space="preserve">258745175</t>
  </si>
  <si>
    <t xml:space="preserve">Trench Box Alum 8' X 10' W/steel Frame</t>
  </si>
  <si>
    <t xml:space="preserve">942-6838</t>
  </si>
  <si>
    <t xml:space="preserve">Spreader Bar (kit) 5" X 6'</t>
  </si>
  <si>
    <t xml:space="preserve">940-5410</t>
  </si>
  <si>
    <t xml:space="preserve">5" Spreader Bar (linear Feet)</t>
  </si>
  <si>
    <t xml:space="preserve">940-5652</t>
  </si>
  <si>
    <t xml:space="preserve">258458894</t>
  </si>
  <si>
    <t xml:space="preserve">02/06/2026</t>
  </si>
  <si>
    <t xml:space="preserve">CORINTH</t>
  </si>
  <si>
    <t xml:space="preserve">Pump Hydrostatic Test 550 Psi Gas</t>
  </si>
  <si>
    <t xml:space="preserve">545-9820</t>
  </si>
  <si>
    <t xml:space="preserve">258401421</t>
  </si>
  <si>
    <t xml:space="preserve">02/05/2026</t>
  </si>
  <si>
    <t xml:space="preserve">02/24/2026</t>
  </si>
  <si>
    <t xml:space="preserve">Moil Point 12" Rivet Buster</t>
  </si>
  <si>
    <t xml:space="preserve">110-4630</t>
  </si>
  <si>
    <t xml:space="preserve">Air Hammer Chipping Chisel Attachment, 12 in., Flat Rivet Buster</t>
  </si>
  <si>
    <t xml:space="preserve">110-4600</t>
  </si>
  <si>
    <t xml:space="preserve">257626451</t>
  </si>
  <si>
    <t xml:space="preserve">01/19/2026</t>
  </si>
  <si>
    <t xml:space="preserve">02/16/2026</t>
  </si>
  <si>
    <t xml:space="preserve">LITTLE RANCH RD &amp; TEEL PKWY</t>
  </si>
  <si>
    <t xml:space="preserve">Yajju Maharjan</t>
  </si>
  <si>
    <t xml:space="preserve">Timber Bridge Mat</t>
  </si>
  <si>
    <t xml:space="preserve">895-1450</t>
  </si>
  <si>
    <t xml:space="preserve">BRIDGE MAT 04X12X30</t>
  </si>
  <si>
    <t xml:space="preserve">895-1500</t>
  </si>
  <si>
    <t xml:space="preserve">257626642</t>
  </si>
  <si>
    <t xml:space="preserve">257635577</t>
  </si>
  <si>
    <t xml:space="preserve">01/16/2026</t>
  </si>
  <si>
    <t xml:space="preserve">07/30/2027</t>
  </si>
  <si>
    <t xml:space="preserve">4747 4TH ARMY DR</t>
  </si>
  <si>
    <t xml:space="preserve">300 Gal. Portable Wastewater Holding Tank</t>
  </si>
  <si>
    <t xml:space="preserve">600-2485</t>
  </si>
  <si>
    <t xml:space="preserve">SERVICE - WASTE TANK 2X WEEKLY</t>
  </si>
  <si>
    <t xml:space="preserve">075-4031</t>
  </si>
  <si>
    <t xml:space="preserve">257578548</t>
  </si>
  <si>
    <t xml:space="preserve">01/14/2026</t>
  </si>
  <si>
    <t xml:space="preserve">02/11/2026</t>
  </si>
  <si>
    <t xml:space="preserve">JOBSITE</t>
  </si>
  <si>
    <t xml:space="preserve">Marco Bentancourt</t>
  </si>
  <si>
    <t xml:space="preserve">257202694</t>
  </si>
  <si>
    <t xml:space="preserve">01/13/2026</t>
  </si>
  <si>
    <t xml:space="preserve">02/10/2026</t>
  </si>
  <si>
    <t xml:space="preserve">257187920</t>
  </si>
  <si>
    <t xml:space="preserve">01/02/2026</t>
  </si>
  <si>
    <t xml:space="preserve">01/03/2026</t>
  </si>
  <si>
    <t xml:space="preserve">UNKNOWN DENTON</t>
  </si>
  <si>
    <t xml:space="preserve">Concrete Core Drill, 13-15 Amps, Electric Powered</t>
  </si>
  <si>
    <t xml:space="preserve">180-7000</t>
  </si>
  <si>
    <t xml:space="preserve">Concrete Core Drill Extension, 12 in.</t>
  </si>
  <si>
    <t xml:space="preserve">181-7310</t>
  </si>
  <si>
    <t xml:space="preserve">256795934</t>
  </si>
  <si>
    <t xml:space="preserve">12/18/2025</t>
  </si>
  <si>
    <t xml:space="preserve">01/09/2026</t>
  </si>
  <si>
    <t xml:space="preserve">LEBANON RD FM 423 TO TODD DR</t>
  </si>
  <si>
    <t xml:space="preserve">Fredy .</t>
  </si>
  <si>
    <t xml:space="preserve">256192115</t>
  </si>
  <si>
    <t xml:space="preserve">12/03/2025</t>
  </si>
  <si>
    <t xml:space="preserve">23009</t>
  </si>
  <si>
    <t xml:space="preserve">Jasmine Zapata</t>
  </si>
  <si>
    <t xml:space="preserve">256126864</t>
  </si>
  <si>
    <t xml:space="preserve">12/01/2025</t>
  </si>
  <si>
    <t xml:space="preserve">12/30/2025</t>
  </si>
  <si>
    <t xml:space="preserve">Air Backfill Tamper, 670 BPM</t>
  </si>
  <si>
    <t xml:space="preserve">110-1830</t>
  </si>
  <si>
    <t xml:space="preserve">255177073</t>
  </si>
  <si>
    <t xml:space="preserve">11/05/2025</t>
  </si>
  <si>
    <t xml:space="preserve">254712931</t>
  </si>
  <si>
    <t xml:space="preserve">10/24/2025</t>
  </si>
  <si>
    <t xml:space="preserve">12/31/2025</t>
  </si>
  <si>
    <t xml:space="preserve">Excavator Bucket 36"</t>
  </si>
  <si>
    <t xml:space="preserve">905-5035</t>
  </si>
  <si>
    <t xml:space="preserve">254491864</t>
  </si>
  <si>
    <t xml:space="preserve">10/20/2025</t>
  </si>
  <si>
    <t xml:space="preserve">254497531</t>
  </si>
  <si>
    <t xml:space="preserve">254179589</t>
  </si>
  <si>
    <t xml:space="preserve">10/13/2025</t>
  </si>
  <si>
    <t xml:space="preserve">TRENCH BOX 10' X 24' (6" FB)</t>
  </si>
  <si>
    <t xml:space="preserve">941-8566</t>
  </si>
  <si>
    <t xml:space="preserve">Crossing Plate Lift Screw 1.25"</t>
  </si>
  <si>
    <t xml:space="preserve">944-9895</t>
  </si>
  <si>
    <t xml:space="preserve">254113828</t>
  </si>
  <si>
    <t xml:space="preserve">10/10/2025</t>
  </si>
  <si>
    <t xml:space="preserve">01/07/2026</t>
  </si>
  <si>
    <t xml:space="preserve">Excavator Bucket 24"</t>
  </si>
  <si>
    <t xml:space="preserve">905-5025</t>
  </si>
  <si>
    <t xml:space="preserve">253925519</t>
  </si>
  <si>
    <t xml:space="preserve">10/07/2025</t>
  </si>
  <si>
    <t xml:space="preserve">10/21/2025</t>
  </si>
  <si>
    <t xml:space="preserve">Fernando Castro</t>
  </si>
  <si>
    <t xml:space="preserve">253852845</t>
  </si>
  <si>
    <t xml:space="preserve">10/06/2025</t>
  </si>
  <si>
    <t xml:space="preserve">10/28/2025</t>
  </si>
  <si>
    <t xml:space="preserve">253849272</t>
  </si>
  <si>
    <t xml:space="preserve">10/03/2025</t>
  </si>
  <si>
    <t xml:space="preserve">ANITA</t>
  </si>
  <si>
    <t xml:space="preserve">253151608</t>
  </si>
  <si>
    <t xml:space="preserve">09/18/2025</t>
  </si>
  <si>
    <t xml:space="preserve">12/16/2026</t>
  </si>
  <si>
    <t xml:space="preserve">253187515</t>
  </si>
  <si>
    <t xml:space="preserve">11/19/2025</t>
  </si>
  <si>
    <t xml:space="preserve">Air Hammer Chipping Chisel Attachment, 3 in. by 6 in.</t>
  </si>
  <si>
    <t xml:space="preserve">110-4155</t>
  </si>
  <si>
    <t xml:space="preserve">253089852</t>
  </si>
  <si>
    <t xml:space="preserve">09/17/2025</t>
  </si>
  <si>
    <t xml:space="preserve">10/08/2025</t>
  </si>
  <si>
    <t xml:space="preserve">SYNERGY PARK</t>
  </si>
  <si>
    <t xml:space="preserve">6,300-6,400 lb. Mini Excavator</t>
  </si>
  <si>
    <t xml:space="preserve">907-0062</t>
  </si>
  <si>
    <t xml:space="preserve">253065736</t>
  </si>
  <si>
    <t xml:space="preserve">09/16/2025</t>
  </si>
  <si>
    <t xml:space="preserve">10,500-12,000 lb. Mini Excavator</t>
  </si>
  <si>
    <t xml:space="preserve">907-0100</t>
  </si>
  <si>
    <t xml:space="preserve">253045652</t>
  </si>
  <si>
    <t xml:space="preserve">12/11/2025</t>
  </si>
  <si>
    <t xml:space="preserve">UTWRD PROJECT</t>
  </si>
  <si>
    <t xml:space="preserve">8 ft. by 16 ft. Steel Road Plate</t>
  </si>
  <si>
    <t xml:space="preserve">944-9944</t>
  </si>
  <si>
    <t xml:space="preserve">252709739</t>
  </si>
  <si>
    <t xml:space="preserve">09/08/2025</t>
  </si>
  <si>
    <t xml:space="preserve">09/10/2025</t>
  </si>
  <si>
    <t xml:space="preserve">Nooh Ansari</t>
  </si>
  <si>
    <t xml:space="preserve">Concrete Core Drill, 17-23 Amps, Electric Powered</t>
  </si>
  <si>
    <t xml:space="preserve">180-7001</t>
  </si>
  <si>
    <t xml:space="preserve">Diamond Core Bit for Concrete, 8 in.</t>
  </si>
  <si>
    <t xml:space="preserve">181-7280</t>
  </si>
  <si>
    <t xml:space="preserve">252348471</t>
  </si>
  <si>
    <t xml:space="preserve">08/29/2025</t>
  </si>
  <si>
    <t xml:space="preserve">Mariano Jimenez</t>
  </si>
  <si>
    <t xml:space="preserve">251866884</t>
  </si>
  <si>
    <t xml:space="preserve">08/20/2025</t>
  </si>
  <si>
    <t xml:space="preserve">10/09/2025</t>
  </si>
  <si>
    <t xml:space="preserve">Samuel Hernandez</t>
  </si>
  <si>
    <t xml:space="preserve">United Rentals — Order Sample Export</t>
  </si>
  <si>
    <t xml:space="preserve">Account: URBAN INFRACONSTRUCTION LLC #2785573</t>
  </si>
  <si>
    <t xml:space="preserve">Exported: 2026-07-27  |  Sample: first 60 of 137 total orders on file</t>
  </si>
  <si>
    <t xml:space="preserve">Rows by Order Type</t>
  </si>
  <si>
    <t xml:space="preserve">Total line items</t>
  </si>
  <si>
    <t xml:space="preserve">Note: This is a partial export (60 of 137 orders) at the user's request, for sample/reference use.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</si>
</sst>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1F44"/>
        <bgColor rgb="FF003300"/>
      </patternFill>
    </fill>
    <fill>
      <patternFill patternType="solid">
        <fgColor rgb="FFFFF2CC"/>
        <bgColor rgb="FFEFEFEF"/>
      </patternFill>
    </fill>
    <fill>
      <patternFill patternType="solid">
        <fgColor rgb="FFD9EAD3"/>
        <bgColor rgb="FFD9D9D9"/>
      </patternFill>
    </fill>
    <fill>
      <patternFill patternType="solid">
        <fgColor rgb="FFEFEFE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A1F44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A1F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42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n">
        <v>5</v>
      </c>
      <c r="J2" s="2"/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18</v>
      </c>
      <c r="H3" s="2" t="s">
        <v>19</v>
      </c>
      <c r="I3" s="3" t="n">
        <v>5</v>
      </c>
      <c r="J3" s="2"/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20</v>
      </c>
      <c r="H4" s="2" t="s">
        <v>21</v>
      </c>
      <c r="I4" s="3" t="n">
        <v>5</v>
      </c>
      <c r="J4" s="2"/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22</v>
      </c>
      <c r="H5" s="2" t="s">
        <v>23</v>
      </c>
      <c r="I5" s="3" t="n">
        <v>5</v>
      </c>
      <c r="J5" s="2"/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24</v>
      </c>
      <c r="H6" s="2" t="s">
        <v>25</v>
      </c>
      <c r="I6" s="3" t="n">
        <v>5</v>
      </c>
      <c r="J6" s="2" t="s">
        <v>26</v>
      </c>
    </row>
    <row r="7" customFormat="false" ht="15" hidden="false" customHeight="false" outlineLevel="0" collapsed="false">
      <c r="A7" s="2" t="s">
        <v>10</v>
      </c>
      <c r="B7" s="2" t="s">
        <v>27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3" t="n">
        <v>5</v>
      </c>
      <c r="J7" s="2"/>
    </row>
    <row r="8" customFormat="false" ht="15" hidden="false" customHeight="false" outlineLevel="0" collapsed="false">
      <c r="A8" s="2" t="s">
        <v>10</v>
      </c>
      <c r="B8" s="2" t="s">
        <v>27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18</v>
      </c>
      <c r="H8" s="2" t="s">
        <v>19</v>
      </c>
      <c r="I8" s="3" t="n">
        <v>5</v>
      </c>
      <c r="J8" s="2"/>
    </row>
    <row r="9" customFormat="false" ht="15" hidden="false" customHeight="false" outlineLevel="0" collapsed="false">
      <c r="A9" s="2" t="s">
        <v>10</v>
      </c>
      <c r="B9" s="2" t="s">
        <v>27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20</v>
      </c>
      <c r="H9" s="2" t="s">
        <v>21</v>
      </c>
      <c r="I9" s="3" t="n">
        <v>5</v>
      </c>
      <c r="J9" s="2"/>
    </row>
    <row r="10" customFormat="false" ht="15" hidden="false" customHeight="false" outlineLevel="0" collapsed="false">
      <c r="A10" s="2" t="s">
        <v>10</v>
      </c>
      <c r="B10" s="2" t="s">
        <v>27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22</v>
      </c>
      <c r="H10" s="2" t="s">
        <v>23</v>
      </c>
      <c r="I10" s="3" t="n">
        <v>5</v>
      </c>
      <c r="J10" s="2"/>
    </row>
    <row r="11" customFormat="false" ht="15" hidden="false" customHeight="false" outlineLevel="0" collapsed="false">
      <c r="A11" s="2" t="s">
        <v>10</v>
      </c>
      <c r="B11" s="2" t="s">
        <v>27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24</v>
      </c>
      <c r="H11" s="2" t="s">
        <v>25</v>
      </c>
      <c r="I11" s="3" t="n">
        <v>5</v>
      </c>
      <c r="J11" s="2" t="s">
        <v>26</v>
      </c>
    </row>
    <row r="12" customFormat="false" ht="15" hidden="false" customHeight="false" outlineLevel="0" collapsed="false">
      <c r="A12" s="2" t="s">
        <v>10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34</v>
      </c>
      <c r="I12" s="3" t="n">
        <v>2</v>
      </c>
      <c r="J12" s="2"/>
    </row>
    <row r="13" customFormat="false" ht="15" hidden="false" customHeight="false" outlineLevel="0" collapsed="false">
      <c r="A13" s="2" t="s">
        <v>10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35</v>
      </c>
      <c r="H13" s="2" t="s">
        <v>36</v>
      </c>
      <c r="I13" s="3" t="n">
        <v>4</v>
      </c>
      <c r="J13" s="2"/>
    </row>
    <row r="14" customFormat="false" ht="15" hidden="false" customHeight="false" outlineLevel="0" collapsed="false">
      <c r="A14" s="2" t="s">
        <v>10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37</v>
      </c>
      <c r="H14" s="2" t="s">
        <v>38</v>
      </c>
      <c r="I14" s="3" t="n">
        <v>4</v>
      </c>
      <c r="J14" s="2"/>
    </row>
    <row r="15" customFormat="false" ht="15" hidden="false" customHeight="false" outlineLevel="0" collapsed="false">
      <c r="A15" s="2" t="s">
        <v>10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39</v>
      </c>
      <c r="H15" s="2" t="s">
        <v>40</v>
      </c>
      <c r="I15" s="3" t="n">
        <v>3</v>
      </c>
      <c r="J15" s="2"/>
    </row>
    <row r="16" customFormat="false" ht="15" hidden="false" customHeight="false" outlineLevel="0" collapsed="false">
      <c r="A16" s="2" t="s">
        <v>10</v>
      </c>
      <c r="B16" s="2" t="s">
        <v>41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47</v>
      </c>
      <c r="I16" s="3" t="n">
        <v>1</v>
      </c>
      <c r="J16" s="2"/>
    </row>
    <row r="17" customFormat="false" ht="15" hidden="false" customHeight="false" outlineLevel="0" collapsed="false">
      <c r="A17" s="2" t="s">
        <v>10</v>
      </c>
      <c r="B17" s="2" t="s">
        <v>48</v>
      </c>
      <c r="C17" s="2" t="s">
        <v>49</v>
      </c>
      <c r="D17" s="2" t="s">
        <v>50</v>
      </c>
      <c r="E17" s="2" t="s">
        <v>51</v>
      </c>
      <c r="F17" s="2" t="s">
        <v>15</v>
      </c>
      <c r="G17" s="2" t="s">
        <v>52</v>
      </c>
      <c r="H17" s="2" t="s">
        <v>53</v>
      </c>
      <c r="I17" s="3" t="n">
        <v>3</v>
      </c>
      <c r="J17" s="2"/>
    </row>
    <row r="18" customFormat="false" ht="15" hidden="false" customHeight="false" outlineLevel="0" collapsed="false">
      <c r="A18" s="2" t="s">
        <v>10</v>
      </c>
      <c r="B18" s="2" t="s">
        <v>48</v>
      </c>
      <c r="C18" s="2" t="s">
        <v>49</v>
      </c>
      <c r="D18" s="2" t="s">
        <v>50</v>
      </c>
      <c r="E18" s="2" t="s">
        <v>51</v>
      </c>
      <c r="F18" s="2" t="s">
        <v>15</v>
      </c>
      <c r="G18" s="2" t="s">
        <v>18</v>
      </c>
      <c r="H18" s="2" t="s">
        <v>19</v>
      </c>
      <c r="I18" s="3" t="n">
        <v>3</v>
      </c>
      <c r="J18" s="2"/>
    </row>
    <row r="19" customFormat="false" ht="15" hidden="false" customHeight="false" outlineLevel="0" collapsed="false">
      <c r="A19" s="2" t="s">
        <v>10</v>
      </c>
      <c r="B19" s="2" t="s">
        <v>48</v>
      </c>
      <c r="C19" s="2" t="s">
        <v>49</v>
      </c>
      <c r="D19" s="2" t="s">
        <v>50</v>
      </c>
      <c r="E19" s="2" t="s">
        <v>51</v>
      </c>
      <c r="F19" s="2" t="s">
        <v>15</v>
      </c>
      <c r="G19" s="2" t="s">
        <v>54</v>
      </c>
      <c r="H19" s="2" t="s">
        <v>55</v>
      </c>
      <c r="I19" s="3" t="n">
        <v>3</v>
      </c>
      <c r="J19" s="2"/>
    </row>
    <row r="20" customFormat="false" ht="15" hidden="false" customHeight="false" outlineLevel="0" collapsed="false">
      <c r="A20" s="2" t="s">
        <v>10</v>
      </c>
      <c r="B20" s="2" t="s">
        <v>48</v>
      </c>
      <c r="C20" s="2" t="s">
        <v>49</v>
      </c>
      <c r="D20" s="2" t="s">
        <v>50</v>
      </c>
      <c r="E20" s="2" t="s">
        <v>51</v>
      </c>
      <c r="F20" s="2" t="s">
        <v>15</v>
      </c>
      <c r="G20" s="2" t="s">
        <v>56</v>
      </c>
      <c r="H20" s="2" t="s">
        <v>57</v>
      </c>
      <c r="I20" s="3" t="n">
        <v>3</v>
      </c>
      <c r="J20" s="2"/>
    </row>
    <row r="21" customFormat="false" ht="15" hidden="false" customHeight="false" outlineLevel="0" collapsed="false">
      <c r="A21" s="2" t="s">
        <v>10</v>
      </c>
      <c r="B21" s="2" t="s">
        <v>48</v>
      </c>
      <c r="C21" s="2" t="s">
        <v>49</v>
      </c>
      <c r="D21" s="2" t="s">
        <v>50</v>
      </c>
      <c r="E21" s="2" t="s">
        <v>51</v>
      </c>
      <c r="F21" s="2" t="s">
        <v>15</v>
      </c>
      <c r="G21" s="2" t="s">
        <v>58</v>
      </c>
      <c r="H21" s="2" t="s">
        <v>59</v>
      </c>
      <c r="I21" s="3" t="n">
        <v>1</v>
      </c>
      <c r="J21" s="2" t="s">
        <v>26</v>
      </c>
    </row>
    <row r="22" customFormat="false" ht="15" hidden="false" customHeight="false" outlineLevel="0" collapsed="false">
      <c r="A22" s="2" t="s">
        <v>10</v>
      </c>
      <c r="B22" s="2" t="s">
        <v>60</v>
      </c>
      <c r="C22" s="2" t="s">
        <v>49</v>
      </c>
      <c r="D22" s="2" t="s">
        <v>50</v>
      </c>
      <c r="E22" s="2" t="s">
        <v>51</v>
      </c>
      <c r="F22" s="2" t="s">
        <v>15</v>
      </c>
      <c r="G22" s="2" t="s">
        <v>52</v>
      </c>
      <c r="H22" s="2" t="s">
        <v>53</v>
      </c>
      <c r="I22" s="3" t="n">
        <v>3</v>
      </c>
      <c r="J22" s="2"/>
    </row>
    <row r="23" customFormat="false" ht="15" hidden="false" customHeight="false" outlineLevel="0" collapsed="false">
      <c r="A23" s="2" t="s">
        <v>10</v>
      </c>
      <c r="B23" s="2" t="s">
        <v>60</v>
      </c>
      <c r="C23" s="2" t="s">
        <v>49</v>
      </c>
      <c r="D23" s="2" t="s">
        <v>50</v>
      </c>
      <c r="E23" s="2" t="s">
        <v>51</v>
      </c>
      <c r="F23" s="2" t="s">
        <v>15</v>
      </c>
      <c r="G23" s="2" t="s">
        <v>18</v>
      </c>
      <c r="H23" s="2" t="s">
        <v>19</v>
      </c>
      <c r="I23" s="3" t="n">
        <v>3</v>
      </c>
      <c r="J23" s="2"/>
    </row>
    <row r="24" customFormat="false" ht="15" hidden="false" customHeight="false" outlineLevel="0" collapsed="false">
      <c r="A24" s="2" t="s">
        <v>10</v>
      </c>
      <c r="B24" s="2" t="s">
        <v>60</v>
      </c>
      <c r="C24" s="2" t="s">
        <v>49</v>
      </c>
      <c r="D24" s="2" t="s">
        <v>50</v>
      </c>
      <c r="E24" s="2" t="s">
        <v>51</v>
      </c>
      <c r="F24" s="2" t="s">
        <v>15</v>
      </c>
      <c r="G24" s="2" t="s">
        <v>54</v>
      </c>
      <c r="H24" s="2" t="s">
        <v>55</v>
      </c>
      <c r="I24" s="3" t="n">
        <v>3</v>
      </c>
      <c r="J24" s="2"/>
    </row>
    <row r="25" customFormat="false" ht="15" hidden="false" customHeight="false" outlineLevel="0" collapsed="false">
      <c r="A25" s="2" t="s">
        <v>10</v>
      </c>
      <c r="B25" s="2" t="s">
        <v>60</v>
      </c>
      <c r="C25" s="2" t="s">
        <v>49</v>
      </c>
      <c r="D25" s="2" t="s">
        <v>50</v>
      </c>
      <c r="E25" s="2" t="s">
        <v>51</v>
      </c>
      <c r="F25" s="2" t="s">
        <v>15</v>
      </c>
      <c r="G25" s="2" t="s">
        <v>56</v>
      </c>
      <c r="H25" s="2" t="s">
        <v>57</v>
      </c>
      <c r="I25" s="3" t="n">
        <v>3</v>
      </c>
      <c r="J25" s="2"/>
    </row>
    <row r="26" customFormat="false" ht="15" hidden="false" customHeight="false" outlineLevel="0" collapsed="false">
      <c r="A26" s="2" t="s">
        <v>10</v>
      </c>
      <c r="B26" s="2" t="s">
        <v>60</v>
      </c>
      <c r="C26" s="2" t="s">
        <v>49</v>
      </c>
      <c r="D26" s="2" t="s">
        <v>50</v>
      </c>
      <c r="E26" s="2" t="s">
        <v>51</v>
      </c>
      <c r="F26" s="2" t="s">
        <v>15</v>
      </c>
      <c r="G26" s="2" t="s">
        <v>58</v>
      </c>
      <c r="H26" s="2" t="s">
        <v>59</v>
      </c>
      <c r="I26" s="3" t="n">
        <v>1</v>
      </c>
      <c r="J26" s="2" t="s">
        <v>26</v>
      </c>
    </row>
    <row r="27" customFormat="false" ht="15" hidden="false" customHeight="false" outlineLevel="0" collapsed="false">
      <c r="A27" s="2" t="s">
        <v>10</v>
      </c>
      <c r="B27" s="2" t="s">
        <v>61</v>
      </c>
      <c r="C27" s="2" t="s">
        <v>62</v>
      </c>
      <c r="D27" s="2" t="s">
        <v>63</v>
      </c>
      <c r="E27" s="2" t="s">
        <v>64</v>
      </c>
      <c r="F27" s="2" t="s">
        <v>65</v>
      </c>
      <c r="G27" s="2" t="s">
        <v>66</v>
      </c>
      <c r="H27" s="2" t="s">
        <v>67</v>
      </c>
      <c r="I27" s="3" t="n">
        <v>1</v>
      </c>
      <c r="J27" s="2"/>
    </row>
    <row r="28" customFormat="false" ht="15" hidden="false" customHeight="false" outlineLevel="0" collapsed="false">
      <c r="A28" s="2" t="s">
        <v>10</v>
      </c>
      <c r="B28" s="2" t="s">
        <v>61</v>
      </c>
      <c r="C28" s="2" t="s">
        <v>62</v>
      </c>
      <c r="D28" s="2" t="s">
        <v>63</v>
      </c>
      <c r="E28" s="2" t="s">
        <v>64</v>
      </c>
      <c r="F28" s="2" t="s">
        <v>65</v>
      </c>
      <c r="G28" s="2" t="s">
        <v>68</v>
      </c>
      <c r="H28" s="2" t="s">
        <v>69</v>
      </c>
      <c r="I28" s="3" t="n">
        <v>4</v>
      </c>
      <c r="J28" s="2"/>
    </row>
    <row r="29" customFormat="false" ht="15" hidden="false" customHeight="false" outlineLevel="0" collapsed="false">
      <c r="A29" s="2" t="s">
        <v>10</v>
      </c>
      <c r="B29" s="2" t="s">
        <v>61</v>
      </c>
      <c r="C29" s="2" t="s">
        <v>62</v>
      </c>
      <c r="D29" s="2" t="s">
        <v>63</v>
      </c>
      <c r="E29" s="2" t="s">
        <v>64</v>
      </c>
      <c r="F29" s="2" t="s">
        <v>65</v>
      </c>
      <c r="G29" s="2" t="s">
        <v>70</v>
      </c>
      <c r="H29" s="2" t="s">
        <v>71</v>
      </c>
      <c r="I29" s="3" t="n">
        <v>20</v>
      </c>
      <c r="J29" s="2"/>
    </row>
    <row r="30" customFormat="false" ht="15" hidden="false" customHeight="false" outlineLevel="0" collapsed="false">
      <c r="A30" s="2" t="s">
        <v>10</v>
      </c>
      <c r="B30" s="2" t="s">
        <v>61</v>
      </c>
      <c r="C30" s="2" t="s">
        <v>62</v>
      </c>
      <c r="D30" s="2" t="s">
        <v>63</v>
      </c>
      <c r="E30" s="2" t="s">
        <v>64</v>
      </c>
      <c r="F30" s="2" t="s">
        <v>65</v>
      </c>
      <c r="G30" s="2" t="s">
        <v>72</v>
      </c>
      <c r="H30" s="2" t="s">
        <v>73</v>
      </c>
      <c r="I30" s="3" t="n">
        <v>8</v>
      </c>
      <c r="J30" s="2"/>
    </row>
    <row r="31" customFormat="false" ht="15" hidden="false" customHeight="false" outlineLevel="0" collapsed="false">
      <c r="A31" s="2" t="s">
        <v>10</v>
      </c>
      <c r="B31" s="2" t="s">
        <v>61</v>
      </c>
      <c r="C31" s="2" t="s">
        <v>62</v>
      </c>
      <c r="D31" s="2" t="s">
        <v>63</v>
      </c>
      <c r="E31" s="2" t="s">
        <v>64</v>
      </c>
      <c r="F31" s="2" t="s">
        <v>65</v>
      </c>
      <c r="G31" s="2" t="s">
        <v>74</v>
      </c>
      <c r="H31" s="2" t="s">
        <v>75</v>
      </c>
      <c r="I31" s="3" t="n">
        <v>2</v>
      </c>
      <c r="J31" s="2"/>
    </row>
    <row r="32" customFormat="false" ht="15" hidden="false" customHeight="false" outlineLevel="0" collapsed="false">
      <c r="A32" s="2" t="s">
        <v>10</v>
      </c>
      <c r="B32" s="2" t="s">
        <v>76</v>
      </c>
      <c r="C32" s="2" t="s">
        <v>62</v>
      </c>
      <c r="D32" s="2" t="s">
        <v>63</v>
      </c>
      <c r="E32" s="2" t="s">
        <v>77</v>
      </c>
      <c r="F32" s="2" t="s">
        <v>32</v>
      </c>
      <c r="G32" s="2" t="s">
        <v>78</v>
      </c>
      <c r="H32" s="2" t="s">
        <v>79</v>
      </c>
      <c r="I32" s="3" t="n">
        <v>2745</v>
      </c>
      <c r="J32" s="2"/>
    </row>
    <row r="33" customFormat="false" ht="15" hidden="false" customHeight="false" outlineLevel="0" collapsed="false">
      <c r="A33" s="2" t="s">
        <v>10</v>
      </c>
      <c r="B33" s="2" t="s">
        <v>76</v>
      </c>
      <c r="C33" s="2" t="s">
        <v>62</v>
      </c>
      <c r="D33" s="2" t="s">
        <v>63</v>
      </c>
      <c r="E33" s="2" t="s">
        <v>77</v>
      </c>
      <c r="F33" s="2" t="s">
        <v>32</v>
      </c>
      <c r="G33" s="2" t="s">
        <v>80</v>
      </c>
      <c r="H33" s="2" t="s">
        <v>81</v>
      </c>
      <c r="I33" s="3" t="n">
        <v>60</v>
      </c>
      <c r="J33" s="2"/>
    </row>
    <row r="34" customFormat="false" ht="15" hidden="false" customHeight="false" outlineLevel="0" collapsed="false">
      <c r="A34" s="4" t="s">
        <v>82</v>
      </c>
      <c r="B34" s="4" t="s">
        <v>83</v>
      </c>
      <c r="C34" s="4" t="s">
        <v>84</v>
      </c>
      <c r="D34" s="4" t="s">
        <v>85</v>
      </c>
      <c r="E34" s="4" t="s">
        <v>86</v>
      </c>
      <c r="F34" s="4" t="s">
        <v>87</v>
      </c>
      <c r="G34" s="4" t="s">
        <v>88</v>
      </c>
      <c r="H34" s="4" t="s">
        <v>89</v>
      </c>
      <c r="I34" s="5" t="n">
        <v>1</v>
      </c>
      <c r="J34" s="4"/>
    </row>
    <row r="35" customFormat="false" ht="15" hidden="false" customHeight="false" outlineLevel="0" collapsed="false">
      <c r="A35" s="4" t="s">
        <v>82</v>
      </c>
      <c r="B35" s="4" t="s">
        <v>83</v>
      </c>
      <c r="C35" s="4" t="s">
        <v>84</v>
      </c>
      <c r="D35" s="4" t="s">
        <v>85</v>
      </c>
      <c r="E35" s="4" t="s">
        <v>86</v>
      </c>
      <c r="F35" s="4" t="s">
        <v>87</v>
      </c>
      <c r="G35" s="4" t="s">
        <v>90</v>
      </c>
      <c r="H35" s="4" t="s">
        <v>91</v>
      </c>
      <c r="I35" s="5" t="n">
        <v>1</v>
      </c>
      <c r="J35" s="4"/>
    </row>
    <row r="36" customFormat="false" ht="15" hidden="false" customHeight="false" outlineLevel="0" collapsed="false">
      <c r="A36" s="4" t="s">
        <v>82</v>
      </c>
      <c r="B36" s="4" t="s">
        <v>83</v>
      </c>
      <c r="C36" s="4" t="s">
        <v>84</v>
      </c>
      <c r="D36" s="4" t="s">
        <v>85</v>
      </c>
      <c r="E36" s="4" t="s">
        <v>86</v>
      </c>
      <c r="F36" s="4" t="s">
        <v>87</v>
      </c>
      <c r="G36" s="4" t="s">
        <v>92</v>
      </c>
      <c r="H36" s="4" t="s">
        <v>93</v>
      </c>
      <c r="I36" s="5" t="n">
        <v>4</v>
      </c>
      <c r="J36" s="4"/>
    </row>
    <row r="37" customFormat="false" ht="15" hidden="false" customHeight="false" outlineLevel="0" collapsed="false">
      <c r="A37" s="4" t="s">
        <v>82</v>
      </c>
      <c r="B37" s="4" t="s">
        <v>83</v>
      </c>
      <c r="C37" s="4" t="s">
        <v>84</v>
      </c>
      <c r="D37" s="4" t="s">
        <v>85</v>
      </c>
      <c r="E37" s="4" t="s">
        <v>86</v>
      </c>
      <c r="F37" s="4" t="s">
        <v>87</v>
      </c>
      <c r="G37" s="4" t="s">
        <v>70</v>
      </c>
      <c r="H37" s="4" t="s">
        <v>71</v>
      </c>
      <c r="I37" s="5" t="n">
        <v>96</v>
      </c>
      <c r="J37" s="4"/>
    </row>
    <row r="38" customFormat="false" ht="15" hidden="false" customHeight="false" outlineLevel="0" collapsed="false">
      <c r="A38" s="4" t="s">
        <v>82</v>
      </c>
      <c r="B38" s="4" t="s">
        <v>83</v>
      </c>
      <c r="C38" s="4" t="s">
        <v>84</v>
      </c>
      <c r="D38" s="4" t="s">
        <v>85</v>
      </c>
      <c r="E38" s="4" t="s">
        <v>86</v>
      </c>
      <c r="F38" s="4" t="s">
        <v>87</v>
      </c>
      <c r="G38" s="4" t="s">
        <v>68</v>
      </c>
      <c r="H38" s="4" t="s">
        <v>69</v>
      </c>
      <c r="I38" s="5" t="n">
        <v>4</v>
      </c>
      <c r="J38" s="4" t="s">
        <v>26</v>
      </c>
    </row>
    <row r="39" customFormat="false" ht="15" hidden="false" customHeight="false" outlineLevel="0" collapsed="false">
      <c r="A39" s="4" t="s">
        <v>82</v>
      </c>
      <c r="B39" s="4" t="s">
        <v>94</v>
      </c>
      <c r="C39" s="4" t="s">
        <v>84</v>
      </c>
      <c r="D39" s="4" t="s">
        <v>85</v>
      </c>
      <c r="E39" s="4" t="s">
        <v>86</v>
      </c>
      <c r="F39" s="4" t="s">
        <v>87</v>
      </c>
      <c r="G39" s="4" t="s">
        <v>88</v>
      </c>
      <c r="H39" s="4" t="s">
        <v>89</v>
      </c>
      <c r="I39" s="5" t="n">
        <v>1</v>
      </c>
      <c r="J39" s="4" t="s">
        <v>26</v>
      </c>
    </row>
    <row r="40" customFormat="false" ht="15" hidden="false" customHeight="false" outlineLevel="0" collapsed="false">
      <c r="A40" s="6" t="s">
        <v>95</v>
      </c>
      <c r="B40" s="6" t="s">
        <v>96</v>
      </c>
      <c r="C40" s="6" t="s">
        <v>97</v>
      </c>
      <c r="D40" s="6" t="s">
        <v>98</v>
      </c>
      <c r="E40" s="6" t="s">
        <v>99</v>
      </c>
      <c r="F40" s="6" t="s">
        <v>100</v>
      </c>
      <c r="G40" s="6" t="s">
        <v>101</v>
      </c>
      <c r="H40" s="6" t="s">
        <v>102</v>
      </c>
      <c r="I40" s="7" t="n">
        <v>1</v>
      </c>
      <c r="J40" s="6"/>
    </row>
    <row r="41" customFormat="false" ht="15" hidden="false" customHeight="false" outlineLevel="0" collapsed="false">
      <c r="A41" s="6" t="s">
        <v>95</v>
      </c>
      <c r="B41" s="6" t="s">
        <v>103</v>
      </c>
      <c r="C41" s="6" t="s">
        <v>104</v>
      </c>
      <c r="D41" s="6" t="s">
        <v>62</v>
      </c>
      <c r="E41" s="6" t="s">
        <v>105</v>
      </c>
      <c r="F41" s="6" t="s">
        <v>100</v>
      </c>
      <c r="G41" s="6" t="s">
        <v>106</v>
      </c>
      <c r="H41" s="6" t="s">
        <v>107</v>
      </c>
      <c r="I41" s="7" t="n">
        <v>1</v>
      </c>
      <c r="J41" s="6"/>
    </row>
    <row r="42" customFormat="false" ht="15" hidden="false" customHeight="false" outlineLevel="0" collapsed="false">
      <c r="A42" s="4" t="s">
        <v>82</v>
      </c>
      <c r="B42" s="4" t="s">
        <v>108</v>
      </c>
      <c r="C42" s="4" t="s">
        <v>109</v>
      </c>
      <c r="D42" s="4" t="s">
        <v>110</v>
      </c>
      <c r="E42" s="4" t="s">
        <v>111</v>
      </c>
      <c r="F42" s="4" t="s">
        <v>112</v>
      </c>
      <c r="G42" s="4" t="s">
        <v>113</v>
      </c>
      <c r="H42" s="4" t="s">
        <v>114</v>
      </c>
      <c r="I42" s="5" t="n">
        <v>1</v>
      </c>
      <c r="J42" s="4"/>
    </row>
    <row r="43" customFormat="false" ht="15" hidden="false" customHeight="false" outlineLevel="0" collapsed="false">
      <c r="A43" s="4" t="s">
        <v>82</v>
      </c>
      <c r="B43" s="4" t="s">
        <v>108</v>
      </c>
      <c r="C43" s="4" t="s">
        <v>109</v>
      </c>
      <c r="D43" s="4" t="s">
        <v>110</v>
      </c>
      <c r="E43" s="4" t="s">
        <v>111</v>
      </c>
      <c r="F43" s="4" t="s">
        <v>112</v>
      </c>
      <c r="G43" s="4" t="s">
        <v>115</v>
      </c>
      <c r="H43" s="4" t="s">
        <v>116</v>
      </c>
      <c r="I43" s="5" t="n">
        <v>2</v>
      </c>
      <c r="J43" s="4"/>
    </row>
    <row r="44" customFormat="false" ht="15" hidden="false" customHeight="false" outlineLevel="0" collapsed="false">
      <c r="A44" s="4" t="s">
        <v>82</v>
      </c>
      <c r="B44" s="4" t="s">
        <v>108</v>
      </c>
      <c r="C44" s="4" t="s">
        <v>109</v>
      </c>
      <c r="D44" s="4" t="s">
        <v>110</v>
      </c>
      <c r="E44" s="4" t="s">
        <v>111</v>
      </c>
      <c r="F44" s="4" t="s">
        <v>112</v>
      </c>
      <c r="G44" s="4" t="s">
        <v>117</v>
      </c>
      <c r="H44" s="4" t="s">
        <v>118</v>
      </c>
      <c r="I44" s="5" t="n">
        <v>2</v>
      </c>
      <c r="J44" s="4"/>
    </row>
    <row r="45" customFormat="false" ht="15" hidden="false" customHeight="false" outlineLevel="0" collapsed="false">
      <c r="A45" s="4" t="s">
        <v>82</v>
      </c>
      <c r="B45" s="4" t="s">
        <v>108</v>
      </c>
      <c r="C45" s="4" t="s">
        <v>109</v>
      </c>
      <c r="D45" s="4" t="s">
        <v>110</v>
      </c>
      <c r="E45" s="4" t="s">
        <v>111</v>
      </c>
      <c r="F45" s="4" t="s">
        <v>112</v>
      </c>
      <c r="G45" s="4" t="s">
        <v>119</v>
      </c>
      <c r="H45" s="4" t="s">
        <v>120</v>
      </c>
      <c r="I45" s="5" t="n">
        <v>2</v>
      </c>
      <c r="J45" s="4"/>
    </row>
    <row r="46" customFormat="false" ht="15" hidden="false" customHeight="false" outlineLevel="0" collapsed="false">
      <c r="A46" s="4" t="s">
        <v>82</v>
      </c>
      <c r="B46" s="4" t="s">
        <v>108</v>
      </c>
      <c r="C46" s="4" t="s">
        <v>109</v>
      </c>
      <c r="D46" s="4" t="s">
        <v>110</v>
      </c>
      <c r="E46" s="4" t="s">
        <v>111</v>
      </c>
      <c r="F46" s="4" t="s">
        <v>112</v>
      </c>
      <c r="G46" s="4" t="s">
        <v>121</v>
      </c>
      <c r="H46" s="4" t="s">
        <v>122</v>
      </c>
      <c r="I46" s="5" t="n">
        <v>2</v>
      </c>
      <c r="J46" s="4"/>
    </row>
    <row r="47" customFormat="false" ht="15" hidden="false" customHeight="false" outlineLevel="0" collapsed="false">
      <c r="A47" s="4" t="s">
        <v>82</v>
      </c>
      <c r="B47" s="4" t="s">
        <v>123</v>
      </c>
      <c r="C47" s="4" t="s">
        <v>109</v>
      </c>
      <c r="D47" s="4" t="s">
        <v>124</v>
      </c>
      <c r="E47" s="4" t="s">
        <v>111</v>
      </c>
      <c r="F47" s="4" t="s">
        <v>125</v>
      </c>
      <c r="G47" s="4" t="s">
        <v>74</v>
      </c>
      <c r="H47" s="4" t="s">
        <v>75</v>
      </c>
      <c r="I47" s="5" t="n">
        <v>2</v>
      </c>
      <c r="J47" s="4"/>
    </row>
    <row r="48" customFormat="false" ht="15" hidden="false" customHeight="false" outlineLevel="0" collapsed="false">
      <c r="A48" s="4" t="s">
        <v>82</v>
      </c>
      <c r="B48" s="4" t="s">
        <v>123</v>
      </c>
      <c r="C48" s="4" t="s">
        <v>109</v>
      </c>
      <c r="D48" s="4" t="s">
        <v>124</v>
      </c>
      <c r="E48" s="4" t="s">
        <v>111</v>
      </c>
      <c r="F48" s="4" t="s">
        <v>125</v>
      </c>
      <c r="G48" s="4" t="s">
        <v>126</v>
      </c>
      <c r="H48" s="4" t="s">
        <v>127</v>
      </c>
      <c r="I48" s="5" t="n">
        <v>1</v>
      </c>
      <c r="J48" s="4"/>
    </row>
    <row r="49" customFormat="false" ht="15" hidden="false" customHeight="false" outlineLevel="0" collapsed="false">
      <c r="A49" s="6" t="s">
        <v>95</v>
      </c>
      <c r="B49" s="6" t="s">
        <v>128</v>
      </c>
      <c r="C49" s="6" t="s">
        <v>129</v>
      </c>
      <c r="D49" s="6" t="s">
        <v>130</v>
      </c>
      <c r="E49" s="6" t="s">
        <v>105</v>
      </c>
      <c r="F49" s="6" t="s">
        <v>100</v>
      </c>
      <c r="G49" s="6" t="s">
        <v>101</v>
      </c>
      <c r="H49" s="6" t="s">
        <v>102</v>
      </c>
      <c r="I49" s="7" t="n">
        <v>1</v>
      </c>
      <c r="J49" s="6"/>
    </row>
    <row r="50" customFormat="false" ht="15" hidden="false" customHeight="false" outlineLevel="0" collapsed="false">
      <c r="A50" s="4" t="s">
        <v>82</v>
      </c>
      <c r="B50" s="4" t="s">
        <v>131</v>
      </c>
      <c r="C50" s="4" t="s">
        <v>132</v>
      </c>
      <c r="D50" s="4" t="s">
        <v>133</v>
      </c>
      <c r="E50" s="4" t="s">
        <v>111</v>
      </c>
      <c r="F50" s="4" t="s">
        <v>125</v>
      </c>
      <c r="G50" s="4" t="s">
        <v>74</v>
      </c>
      <c r="H50" s="4" t="s">
        <v>75</v>
      </c>
      <c r="I50" s="5" t="n">
        <v>4</v>
      </c>
      <c r="J50" s="4"/>
    </row>
    <row r="51" customFormat="false" ht="15" hidden="false" customHeight="false" outlineLevel="0" collapsed="false">
      <c r="A51" s="4" t="s">
        <v>82</v>
      </c>
      <c r="B51" s="4" t="s">
        <v>131</v>
      </c>
      <c r="C51" s="4" t="s">
        <v>132</v>
      </c>
      <c r="D51" s="4" t="s">
        <v>133</v>
      </c>
      <c r="E51" s="4" t="s">
        <v>111</v>
      </c>
      <c r="F51" s="4" t="s">
        <v>125</v>
      </c>
      <c r="G51" s="4" t="s">
        <v>126</v>
      </c>
      <c r="H51" s="4" t="s">
        <v>127</v>
      </c>
      <c r="I51" s="5" t="n">
        <v>2</v>
      </c>
      <c r="J51" s="4"/>
    </row>
    <row r="52" customFormat="false" ht="15" hidden="false" customHeight="false" outlineLevel="0" collapsed="false">
      <c r="A52" s="6" t="s">
        <v>95</v>
      </c>
      <c r="B52" s="6" t="s">
        <v>134</v>
      </c>
      <c r="C52" s="6" t="s">
        <v>135</v>
      </c>
      <c r="D52" s="6" t="s">
        <v>129</v>
      </c>
      <c r="E52" s="6" t="s">
        <v>111</v>
      </c>
      <c r="F52" s="6" t="s">
        <v>45</v>
      </c>
      <c r="G52" s="6" t="s">
        <v>136</v>
      </c>
      <c r="H52" s="6" t="s">
        <v>137</v>
      </c>
      <c r="I52" s="7" t="n">
        <v>1</v>
      </c>
      <c r="J52" s="6"/>
    </row>
    <row r="53" customFormat="false" ht="15" hidden="false" customHeight="false" outlineLevel="0" collapsed="false">
      <c r="A53" s="4" t="s">
        <v>82</v>
      </c>
      <c r="B53" s="4" t="s">
        <v>138</v>
      </c>
      <c r="C53" s="4" t="s">
        <v>139</v>
      </c>
      <c r="D53" s="4" t="s">
        <v>140</v>
      </c>
      <c r="E53" s="4" t="s">
        <v>111</v>
      </c>
      <c r="F53" s="4" t="s">
        <v>125</v>
      </c>
      <c r="G53" s="4" t="s">
        <v>141</v>
      </c>
      <c r="H53" s="4" t="s">
        <v>142</v>
      </c>
      <c r="I53" s="5" t="n">
        <v>12</v>
      </c>
      <c r="J53" s="4"/>
    </row>
    <row r="54" customFormat="false" ht="15" hidden="false" customHeight="false" outlineLevel="0" collapsed="false">
      <c r="A54" s="6" t="s">
        <v>95</v>
      </c>
      <c r="B54" s="6" t="s">
        <v>143</v>
      </c>
      <c r="C54" s="6" t="s">
        <v>144</v>
      </c>
      <c r="D54" s="6" t="s">
        <v>129</v>
      </c>
      <c r="E54" s="6" t="s">
        <v>145</v>
      </c>
      <c r="F54" s="6" t="s">
        <v>146</v>
      </c>
      <c r="G54" s="6" t="s">
        <v>147</v>
      </c>
      <c r="H54" s="6" t="s">
        <v>148</v>
      </c>
      <c r="I54" s="7" t="n">
        <v>1</v>
      </c>
      <c r="J54" s="6"/>
    </row>
    <row r="55" customFormat="false" ht="15" hidden="false" customHeight="false" outlineLevel="0" collapsed="false">
      <c r="A55" s="4" t="s">
        <v>82</v>
      </c>
      <c r="B55" s="4" t="s">
        <v>149</v>
      </c>
      <c r="C55" s="4" t="s">
        <v>144</v>
      </c>
      <c r="D55" s="4" t="s">
        <v>150</v>
      </c>
      <c r="E55" s="4" t="s">
        <v>111</v>
      </c>
      <c r="F55" s="4" t="s">
        <v>125</v>
      </c>
      <c r="G55" s="4" t="s">
        <v>90</v>
      </c>
      <c r="H55" s="4" t="s">
        <v>91</v>
      </c>
      <c r="I55" s="5" t="n">
        <v>4</v>
      </c>
      <c r="J55" s="4"/>
    </row>
    <row r="56" customFormat="false" ht="15" hidden="false" customHeight="false" outlineLevel="0" collapsed="false">
      <c r="A56" s="4" t="s">
        <v>82</v>
      </c>
      <c r="B56" s="4" t="s">
        <v>149</v>
      </c>
      <c r="C56" s="4" t="s">
        <v>144</v>
      </c>
      <c r="D56" s="4" t="s">
        <v>150</v>
      </c>
      <c r="E56" s="4" t="s">
        <v>111</v>
      </c>
      <c r="F56" s="4" t="s">
        <v>125</v>
      </c>
      <c r="G56" s="4" t="s">
        <v>72</v>
      </c>
      <c r="H56" s="4" t="s">
        <v>73</v>
      </c>
      <c r="I56" s="5" t="n">
        <v>32</v>
      </c>
      <c r="J56" s="4"/>
    </row>
    <row r="57" customFormat="false" ht="15" hidden="false" customHeight="false" outlineLevel="0" collapsed="false">
      <c r="A57" s="4" t="s">
        <v>82</v>
      </c>
      <c r="B57" s="4" t="s">
        <v>149</v>
      </c>
      <c r="C57" s="4" t="s">
        <v>144</v>
      </c>
      <c r="D57" s="4" t="s">
        <v>150</v>
      </c>
      <c r="E57" s="4" t="s">
        <v>111</v>
      </c>
      <c r="F57" s="4" t="s">
        <v>125</v>
      </c>
      <c r="G57" s="4" t="s">
        <v>151</v>
      </c>
      <c r="H57" s="4" t="s">
        <v>152</v>
      </c>
      <c r="I57" s="5" t="n">
        <v>1</v>
      </c>
      <c r="J57" s="4"/>
    </row>
    <row r="58" customFormat="false" ht="15" hidden="false" customHeight="false" outlineLevel="0" collapsed="false">
      <c r="A58" s="4" t="s">
        <v>82</v>
      </c>
      <c r="B58" s="4" t="s">
        <v>149</v>
      </c>
      <c r="C58" s="4" t="s">
        <v>144</v>
      </c>
      <c r="D58" s="4" t="s">
        <v>150</v>
      </c>
      <c r="E58" s="4" t="s">
        <v>111</v>
      </c>
      <c r="F58" s="4" t="s">
        <v>125</v>
      </c>
      <c r="G58" s="4" t="s">
        <v>74</v>
      </c>
      <c r="H58" s="4" t="s">
        <v>75</v>
      </c>
      <c r="I58" s="5" t="n">
        <v>8</v>
      </c>
      <c r="J58" s="4"/>
    </row>
    <row r="59" customFormat="false" ht="15" hidden="false" customHeight="false" outlineLevel="0" collapsed="false">
      <c r="A59" s="4" t="s">
        <v>82</v>
      </c>
      <c r="B59" s="4" t="s">
        <v>149</v>
      </c>
      <c r="C59" s="4" t="s">
        <v>144</v>
      </c>
      <c r="D59" s="4" t="s">
        <v>150</v>
      </c>
      <c r="E59" s="4" t="s">
        <v>111</v>
      </c>
      <c r="F59" s="4" t="s">
        <v>125</v>
      </c>
      <c r="G59" s="4" t="s">
        <v>153</v>
      </c>
      <c r="H59" s="4" t="s">
        <v>154</v>
      </c>
      <c r="I59" s="5" t="n">
        <v>16</v>
      </c>
      <c r="J59" s="4" t="s">
        <v>26</v>
      </c>
    </row>
    <row r="60" customFormat="false" ht="15" hidden="false" customHeight="false" outlineLevel="0" collapsed="false">
      <c r="A60" s="6" t="s">
        <v>95</v>
      </c>
      <c r="B60" s="6" t="s">
        <v>155</v>
      </c>
      <c r="C60" s="6" t="s">
        <v>156</v>
      </c>
      <c r="D60" s="6" t="s">
        <v>157</v>
      </c>
      <c r="E60" s="6" t="s">
        <v>111</v>
      </c>
      <c r="F60" s="6" t="s">
        <v>125</v>
      </c>
      <c r="G60" s="6" t="s">
        <v>158</v>
      </c>
      <c r="H60" s="6" t="s">
        <v>159</v>
      </c>
      <c r="I60" s="7" t="n">
        <v>1</v>
      </c>
      <c r="J60" s="6"/>
    </row>
    <row r="61" customFormat="false" ht="15" hidden="false" customHeight="false" outlineLevel="0" collapsed="false">
      <c r="A61" s="6" t="s">
        <v>95</v>
      </c>
      <c r="B61" s="6" t="s">
        <v>160</v>
      </c>
      <c r="C61" s="6" t="s">
        <v>161</v>
      </c>
      <c r="D61" s="6" t="s">
        <v>162</v>
      </c>
      <c r="E61" s="6" t="s">
        <v>163</v>
      </c>
      <c r="F61" s="6" t="s">
        <v>125</v>
      </c>
      <c r="G61" s="6" t="s">
        <v>164</v>
      </c>
      <c r="H61" s="6" t="s">
        <v>165</v>
      </c>
      <c r="I61" s="7" t="n">
        <v>2</v>
      </c>
      <c r="J61" s="6"/>
    </row>
    <row r="62" customFormat="false" ht="15" hidden="false" customHeight="false" outlineLevel="0" collapsed="false">
      <c r="A62" s="6" t="s">
        <v>95</v>
      </c>
      <c r="B62" s="6" t="s">
        <v>166</v>
      </c>
      <c r="C62" s="6" t="s">
        <v>167</v>
      </c>
      <c r="D62" s="6" t="s">
        <v>168</v>
      </c>
      <c r="E62" s="6" t="s">
        <v>163</v>
      </c>
      <c r="F62" s="6" t="s">
        <v>125</v>
      </c>
      <c r="G62" s="6" t="s">
        <v>169</v>
      </c>
      <c r="H62" s="6" t="s">
        <v>170</v>
      </c>
      <c r="I62" s="7" t="n">
        <v>1</v>
      </c>
      <c r="J62" s="6"/>
    </row>
    <row r="63" customFormat="false" ht="15" hidden="false" customHeight="false" outlineLevel="0" collapsed="false">
      <c r="A63" s="6" t="s">
        <v>95</v>
      </c>
      <c r="B63" s="6" t="s">
        <v>166</v>
      </c>
      <c r="C63" s="6" t="s">
        <v>167</v>
      </c>
      <c r="D63" s="6" t="s">
        <v>168</v>
      </c>
      <c r="E63" s="6" t="s">
        <v>163</v>
      </c>
      <c r="F63" s="6" t="s">
        <v>125</v>
      </c>
      <c r="G63" s="6" t="s">
        <v>171</v>
      </c>
      <c r="H63" s="6" t="s">
        <v>172</v>
      </c>
      <c r="I63" s="7" t="n">
        <v>4</v>
      </c>
      <c r="J63" s="6"/>
    </row>
    <row r="64" customFormat="false" ht="15" hidden="false" customHeight="false" outlineLevel="0" collapsed="false">
      <c r="A64" s="6" t="s">
        <v>95</v>
      </c>
      <c r="B64" s="6" t="s">
        <v>166</v>
      </c>
      <c r="C64" s="6" t="s">
        <v>167</v>
      </c>
      <c r="D64" s="6" t="s">
        <v>168</v>
      </c>
      <c r="E64" s="6" t="s">
        <v>163</v>
      </c>
      <c r="F64" s="6" t="s">
        <v>125</v>
      </c>
      <c r="G64" s="6" t="s">
        <v>70</v>
      </c>
      <c r="H64" s="6" t="s">
        <v>71</v>
      </c>
      <c r="I64" s="7" t="n">
        <v>16</v>
      </c>
      <c r="J64" s="6"/>
    </row>
    <row r="65" customFormat="false" ht="15" hidden="false" customHeight="false" outlineLevel="0" collapsed="false">
      <c r="A65" s="6" t="s">
        <v>95</v>
      </c>
      <c r="B65" s="6" t="s">
        <v>166</v>
      </c>
      <c r="C65" s="6" t="s">
        <v>167</v>
      </c>
      <c r="D65" s="6" t="s">
        <v>168</v>
      </c>
      <c r="E65" s="6" t="s">
        <v>163</v>
      </c>
      <c r="F65" s="6" t="s">
        <v>125</v>
      </c>
      <c r="G65" s="6" t="s">
        <v>72</v>
      </c>
      <c r="H65" s="6" t="s">
        <v>73</v>
      </c>
      <c r="I65" s="7" t="n">
        <v>8</v>
      </c>
      <c r="J65" s="6"/>
    </row>
    <row r="66" customFormat="false" ht="15" hidden="false" customHeight="false" outlineLevel="0" collapsed="false">
      <c r="A66" s="6" t="s">
        <v>95</v>
      </c>
      <c r="B66" s="6" t="s">
        <v>166</v>
      </c>
      <c r="C66" s="6" t="s">
        <v>167</v>
      </c>
      <c r="D66" s="6" t="s">
        <v>168</v>
      </c>
      <c r="E66" s="6" t="s">
        <v>163</v>
      </c>
      <c r="F66" s="6" t="s">
        <v>125</v>
      </c>
      <c r="G66" s="6" t="s">
        <v>164</v>
      </c>
      <c r="H66" s="6" t="s">
        <v>165</v>
      </c>
      <c r="I66" s="7" t="n">
        <v>2</v>
      </c>
      <c r="J66" s="6" t="s">
        <v>26</v>
      </c>
    </row>
    <row r="67" customFormat="false" ht="15" hidden="false" customHeight="false" outlineLevel="0" collapsed="false">
      <c r="A67" s="6" t="s">
        <v>95</v>
      </c>
      <c r="B67" s="6" t="s">
        <v>173</v>
      </c>
      <c r="C67" s="6" t="s">
        <v>167</v>
      </c>
      <c r="D67" s="6" t="s">
        <v>167</v>
      </c>
      <c r="E67" s="6" t="s">
        <v>111</v>
      </c>
      <c r="F67" s="6" t="s">
        <v>45</v>
      </c>
      <c r="G67" s="6" t="s">
        <v>147</v>
      </c>
      <c r="H67" s="6" t="s">
        <v>148</v>
      </c>
      <c r="I67" s="7" t="n">
        <v>1</v>
      </c>
      <c r="J67" s="6"/>
    </row>
    <row r="68" customFormat="false" ht="15" hidden="false" customHeight="false" outlineLevel="0" collapsed="false">
      <c r="A68" s="6" t="s">
        <v>95</v>
      </c>
      <c r="B68" s="6" t="s">
        <v>174</v>
      </c>
      <c r="C68" s="6" t="s">
        <v>175</v>
      </c>
      <c r="D68" s="6" t="s">
        <v>176</v>
      </c>
      <c r="E68" s="6" t="s">
        <v>177</v>
      </c>
      <c r="F68" s="6" t="s">
        <v>100</v>
      </c>
      <c r="G68" s="6" t="s">
        <v>178</v>
      </c>
      <c r="H68" s="6" t="s">
        <v>179</v>
      </c>
      <c r="I68" s="7" t="n">
        <v>1</v>
      </c>
      <c r="J68" s="6"/>
    </row>
    <row r="69" customFormat="false" ht="15" hidden="false" customHeight="false" outlineLevel="0" collapsed="false">
      <c r="A69" s="6" t="s">
        <v>95</v>
      </c>
      <c r="B69" s="6" t="s">
        <v>174</v>
      </c>
      <c r="C69" s="6" t="s">
        <v>175</v>
      </c>
      <c r="D69" s="6" t="s">
        <v>176</v>
      </c>
      <c r="E69" s="6" t="s">
        <v>177</v>
      </c>
      <c r="F69" s="6" t="s">
        <v>100</v>
      </c>
      <c r="G69" s="6" t="s">
        <v>180</v>
      </c>
      <c r="H69" s="6" t="s">
        <v>181</v>
      </c>
      <c r="I69" s="7" t="n">
        <v>1</v>
      </c>
      <c r="J69" s="6"/>
    </row>
    <row r="70" customFormat="false" ht="15" hidden="false" customHeight="false" outlineLevel="0" collapsed="false">
      <c r="A70" s="6" t="s">
        <v>95</v>
      </c>
      <c r="B70" s="6" t="s">
        <v>182</v>
      </c>
      <c r="C70" s="6" t="s">
        <v>183</v>
      </c>
      <c r="D70" s="6" t="s">
        <v>184</v>
      </c>
      <c r="E70" s="6" t="s">
        <v>163</v>
      </c>
      <c r="F70" s="6" t="s">
        <v>125</v>
      </c>
      <c r="G70" s="6" t="s">
        <v>185</v>
      </c>
      <c r="H70" s="6" t="s">
        <v>186</v>
      </c>
      <c r="I70" s="7" t="n">
        <v>4</v>
      </c>
      <c r="J70" s="6"/>
    </row>
    <row r="71" customFormat="false" ht="15" hidden="false" customHeight="false" outlineLevel="0" collapsed="false">
      <c r="A71" s="6" t="s">
        <v>95</v>
      </c>
      <c r="B71" s="6" t="s">
        <v>182</v>
      </c>
      <c r="C71" s="6" t="s">
        <v>183</v>
      </c>
      <c r="D71" s="6" t="s">
        <v>184</v>
      </c>
      <c r="E71" s="6" t="s">
        <v>163</v>
      </c>
      <c r="F71" s="6" t="s">
        <v>125</v>
      </c>
      <c r="G71" s="6" t="s">
        <v>187</v>
      </c>
      <c r="H71" s="6" t="s">
        <v>188</v>
      </c>
      <c r="I71" s="7" t="n">
        <v>8</v>
      </c>
      <c r="J71" s="6"/>
    </row>
    <row r="72" customFormat="false" ht="15" hidden="false" customHeight="false" outlineLevel="0" collapsed="false">
      <c r="A72" s="6" t="s">
        <v>95</v>
      </c>
      <c r="B72" s="6" t="s">
        <v>189</v>
      </c>
      <c r="C72" s="6" t="s">
        <v>190</v>
      </c>
      <c r="D72" s="6" t="s">
        <v>184</v>
      </c>
      <c r="E72" s="6" t="s">
        <v>163</v>
      </c>
      <c r="F72" s="6" t="s">
        <v>125</v>
      </c>
      <c r="G72" s="6" t="s">
        <v>191</v>
      </c>
      <c r="H72" s="6" t="s">
        <v>192</v>
      </c>
      <c r="I72" s="7" t="n">
        <v>6</v>
      </c>
      <c r="J72" s="6"/>
    </row>
    <row r="73" customFormat="false" ht="15" hidden="false" customHeight="false" outlineLevel="0" collapsed="false">
      <c r="A73" s="6" t="s">
        <v>95</v>
      </c>
      <c r="B73" s="6" t="s">
        <v>189</v>
      </c>
      <c r="C73" s="6" t="s">
        <v>190</v>
      </c>
      <c r="D73" s="6" t="s">
        <v>184</v>
      </c>
      <c r="E73" s="6" t="s">
        <v>163</v>
      </c>
      <c r="F73" s="6" t="s">
        <v>125</v>
      </c>
      <c r="G73" s="6" t="s">
        <v>187</v>
      </c>
      <c r="H73" s="6" t="s">
        <v>188</v>
      </c>
      <c r="I73" s="7" t="n">
        <v>12</v>
      </c>
      <c r="J73" s="6"/>
    </row>
    <row r="74" customFormat="false" ht="15" hidden="false" customHeight="false" outlineLevel="0" collapsed="false">
      <c r="A74" s="6" t="s">
        <v>95</v>
      </c>
      <c r="B74" s="6" t="s">
        <v>189</v>
      </c>
      <c r="C74" s="6" t="s">
        <v>190</v>
      </c>
      <c r="D74" s="6" t="s">
        <v>184</v>
      </c>
      <c r="E74" s="6" t="s">
        <v>163</v>
      </c>
      <c r="F74" s="6" t="s">
        <v>125</v>
      </c>
      <c r="G74" s="6" t="s">
        <v>193</v>
      </c>
      <c r="H74" s="6" t="s">
        <v>194</v>
      </c>
      <c r="I74" s="7" t="n">
        <v>1</v>
      </c>
      <c r="J74" s="6"/>
    </row>
    <row r="75" customFormat="false" ht="15" hidden="false" customHeight="false" outlineLevel="0" collapsed="false">
      <c r="A75" s="6" t="s">
        <v>95</v>
      </c>
      <c r="B75" s="6" t="s">
        <v>189</v>
      </c>
      <c r="C75" s="6" t="s">
        <v>190</v>
      </c>
      <c r="D75" s="6" t="s">
        <v>184</v>
      </c>
      <c r="E75" s="6" t="s">
        <v>163</v>
      </c>
      <c r="F75" s="6" t="s">
        <v>125</v>
      </c>
      <c r="G75" s="6" t="s">
        <v>195</v>
      </c>
      <c r="H75" s="6" t="s">
        <v>196</v>
      </c>
      <c r="I75" s="7" t="n">
        <v>1</v>
      </c>
      <c r="J75" s="6"/>
    </row>
    <row r="76" customFormat="false" ht="15" hidden="false" customHeight="false" outlineLevel="0" collapsed="false">
      <c r="A76" s="6" t="s">
        <v>95</v>
      </c>
      <c r="B76" s="6" t="s">
        <v>189</v>
      </c>
      <c r="C76" s="6" t="s">
        <v>190</v>
      </c>
      <c r="D76" s="6" t="s">
        <v>184</v>
      </c>
      <c r="E76" s="6" t="s">
        <v>163</v>
      </c>
      <c r="F76" s="6" t="s">
        <v>125</v>
      </c>
      <c r="G76" s="6" t="s">
        <v>197</v>
      </c>
      <c r="H76" s="6" t="s">
        <v>198</v>
      </c>
      <c r="I76" s="7" t="n">
        <v>1</v>
      </c>
      <c r="J76" s="6"/>
    </row>
    <row r="77" customFormat="false" ht="15" hidden="false" customHeight="false" outlineLevel="0" collapsed="false">
      <c r="A77" s="6" t="s">
        <v>95</v>
      </c>
      <c r="B77" s="6" t="s">
        <v>199</v>
      </c>
      <c r="C77" s="6" t="s">
        <v>200</v>
      </c>
      <c r="D77" s="6" t="s">
        <v>201</v>
      </c>
      <c r="E77" s="6" t="s">
        <v>202</v>
      </c>
      <c r="F77" s="6" t="s">
        <v>100</v>
      </c>
      <c r="G77" s="6" t="s">
        <v>178</v>
      </c>
      <c r="H77" s="6" t="s">
        <v>179</v>
      </c>
      <c r="I77" s="7" t="n">
        <v>1</v>
      </c>
      <c r="J77" s="6"/>
    </row>
    <row r="78" customFormat="false" ht="15" hidden="false" customHeight="false" outlineLevel="0" collapsed="false">
      <c r="A78" s="6" t="s">
        <v>95</v>
      </c>
      <c r="B78" s="6" t="s">
        <v>199</v>
      </c>
      <c r="C78" s="6" t="s">
        <v>200</v>
      </c>
      <c r="D78" s="6" t="s">
        <v>201</v>
      </c>
      <c r="E78" s="6" t="s">
        <v>202</v>
      </c>
      <c r="F78" s="6" t="s">
        <v>100</v>
      </c>
      <c r="G78" s="6" t="s">
        <v>180</v>
      </c>
      <c r="H78" s="6" t="s">
        <v>181</v>
      </c>
      <c r="I78" s="7" t="n">
        <v>1</v>
      </c>
      <c r="J78" s="6"/>
    </row>
    <row r="79" customFormat="false" ht="15" hidden="false" customHeight="false" outlineLevel="0" collapsed="false">
      <c r="A79" s="6" t="s">
        <v>95</v>
      </c>
      <c r="B79" s="6" t="s">
        <v>203</v>
      </c>
      <c r="C79" s="6" t="s">
        <v>204</v>
      </c>
      <c r="D79" s="6" t="s">
        <v>205</v>
      </c>
      <c r="E79" s="6" t="s">
        <v>206</v>
      </c>
      <c r="F79" s="6" t="s">
        <v>100</v>
      </c>
      <c r="G79" s="6" t="s">
        <v>147</v>
      </c>
      <c r="H79" s="6" t="s">
        <v>148</v>
      </c>
      <c r="I79" s="7" t="n">
        <v>1</v>
      </c>
      <c r="J79" s="6"/>
    </row>
    <row r="80" customFormat="false" ht="15" hidden="false" customHeight="false" outlineLevel="0" collapsed="false">
      <c r="A80" s="6" t="s">
        <v>95</v>
      </c>
      <c r="B80" s="6" t="s">
        <v>207</v>
      </c>
      <c r="C80" s="6" t="s">
        <v>208</v>
      </c>
      <c r="D80" s="6" t="s">
        <v>209</v>
      </c>
      <c r="E80" s="6" t="s">
        <v>210</v>
      </c>
      <c r="F80" s="6" t="s">
        <v>211</v>
      </c>
      <c r="G80" s="6" t="s">
        <v>212</v>
      </c>
      <c r="H80" s="6" t="s">
        <v>213</v>
      </c>
      <c r="I80" s="7" t="n">
        <v>1</v>
      </c>
      <c r="J80" s="6"/>
    </row>
    <row r="81" customFormat="false" ht="15" hidden="false" customHeight="false" outlineLevel="0" collapsed="false">
      <c r="A81" s="6" t="s">
        <v>95</v>
      </c>
      <c r="B81" s="6" t="s">
        <v>214</v>
      </c>
      <c r="C81" s="6" t="s">
        <v>215</v>
      </c>
      <c r="D81" s="6" t="s">
        <v>216</v>
      </c>
      <c r="E81" s="6" t="s">
        <v>217</v>
      </c>
      <c r="F81" s="6" t="s">
        <v>218</v>
      </c>
      <c r="G81" s="6" t="s">
        <v>219</v>
      </c>
      <c r="H81" s="6" t="s">
        <v>220</v>
      </c>
      <c r="I81" s="7" t="n">
        <v>1</v>
      </c>
      <c r="J81" s="6"/>
    </row>
    <row r="82" customFormat="false" ht="15" hidden="false" customHeight="false" outlineLevel="0" collapsed="false">
      <c r="A82" s="6" t="s">
        <v>95</v>
      </c>
      <c r="B82" s="6" t="s">
        <v>214</v>
      </c>
      <c r="C82" s="6" t="s">
        <v>215</v>
      </c>
      <c r="D82" s="6" t="s">
        <v>216</v>
      </c>
      <c r="E82" s="6" t="s">
        <v>217</v>
      </c>
      <c r="F82" s="6" t="s">
        <v>218</v>
      </c>
      <c r="G82" s="6" t="s">
        <v>221</v>
      </c>
      <c r="H82" s="6" t="s">
        <v>222</v>
      </c>
      <c r="I82" s="7" t="n">
        <v>1</v>
      </c>
      <c r="J82" s="6"/>
    </row>
    <row r="83" customFormat="false" ht="15" hidden="false" customHeight="false" outlineLevel="0" collapsed="false">
      <c r="A83" s="6" t="s">
        <v>95</v>
      </c>
      <c r="B83" s="6" t="s">
        <v>223</v>
      </c>
      <c r="C83" s="6" t="s">
        <v>215</v>
      </c>
      <c r="D83" s="6" t="s">
        <v>209</v>
      </c>
      <c r="E83" s="6" t="s">
        <v>163</v>
      </c>
      <c r="F83" s="6" t="s">
        <v>125</v>
      </c>
      <c r="G83" s="6" t="s">
        <v>224</v>
      </c>
      <c r="H83" s="6" t="s">
        <v>225</v>
      </c>
      <c r="I83" s="7" t="n">
        <v>1</v>
      </c>
      <c r="J83" s="6"/>
    </row>
    <row r="84" customFormat="false" ht="15" hidden="false" customHeight="false" outlineLevel="0" collapsed="false">
      <c r="A84" s="6" t="s">
        <v>95</v>
      </c>
      <c r="B84" s="6" t="s">
        <v>223</v>
      </c>
      <c r="C84" s="6" t="s">
        <v>215</v>
      </c>
      <c r="D84" s="6" t="s">
        <v>209</v>
      </c>
      <c r="E84" s="6" t="s">
        <v>163</v>
      </c>
      <c r="F84" s="6" t="s">
        <v>125</v>
      </c>
      <c r="G84" s="6" t="s">
        <v>226</v>
      </c>
      <c r="H84" s="6" t="s">
        <v>227</v>
      </c>
      <c r="I84" s="7" t="n">
        <v>4</v>
      </c>
      <c r="J84" s="6"/>
    </row>
    <row r="85" customFormat="false" ht="15" hidden="false" customHeight="false" outlineLevel="0" collapsed="false">
      <c r="A85" s="6" t="s">
        <v>95</v>
      </c>
      <c r="B85" s="6" t="s">
        <v>223</v>
      </c>
      <c r="C85" s="6" t="s">
        <v>215</v>
      </c>
      <c r="D85" s="6" t="s">
        <v>209</v>
      </c>
      <c r="E85" s="6" t="s">
        <v>163</v>
      </c>
      <c r="F85" s="6" t="s">
        <v>125</v>
      </c>
      <c r="G85" s="6" t="s">
        <v>228</v>
      </c>
      <c r="H85" s="6" t="s">
        <v>229</v>
      </c>
      <c r="I85" s="7" t="n">
        <v>24</v>
      </c>
      <c r="J85" s="6"/>
    </row>
    <row r="86" customFormat="false" ht="15" hidden="false" customHeight="false" outlineLevel="0" collapsed="false">
      <c r="A86" s="6" t="s">
        <v>95</v>
      </c>
      <c r="B86" s="6" t="s">
        <v>223</v>
      </c>
      <c r="C86" s="6" t="s">
        <v>215</v>
      </c>
      <c r="D86" s="6" t="s">
        <v>209</v>
      </c>
      <c r="E86" s="6" t="s">
        <v>163</v>
      </c>
      <c r="F86" s="6" t="s">
        <v>125</v>
      </c>
      <c r="G86" s="6" t="s">
        <v>72</v>
      </c>
      <c r="H86" s="6" t="s">
        <v>73</v>
      </c>
      <c r="I86" s="7" t="n">
        <v>8</v>
      </c>
      <c r="J86" s="6"/>
    </row>
    <row r="87" customFormat="false" ht="15" hidden="false" customHeight="false" outlineLevel="0" collapsed="false">
      <c r="A87" s="6" t="s">
        <v>95</v>
      </c>
      <c r="B87" s="6" t="s">
        <v>223</v>
      </c>
      <c r="C87" s="6" t="s">
        <v>215</v>
      </c>
      <c r="D87" s="6" t="s">
        <v>209</v>
      </c>
      <c r="E87" s="6" t="s">
        <v>163</v>
      </c>
      <c r="F87" s="6" t="s">
        <v>125</v>
      </c>
      <c r="G87" s="6" t="s">
        <v>151</v>
      </c>
      <c r="H87" s="6" t="s">
        <v>152</v>
      </c>
      <c r="I87" s="7" t="n">
        <v>1</v>
      </c>
      <c r="J87" s="6"/>
    </row>
    <row r="88" customFormat="false" ht="15" hidden="false" customHeight="false" outlineLevel="0" collapsed="false">
      <c r="A88" s="6" t="s">
        <v>95</v>
      </c>
      <c r="B88" s="6" t="s">
        <v>230</v>
      </c>
      <c r="C88" s="6" t="s">
        <v>231</v>
      </c>
      <c r="D88" s="6" t="s">
        <v>208</v>
      </c>
      <c r="E88" s="6" t="s">
        <v>232</v>
      </c>
      <c r="F88" s="6" t="s">
        <v>100</v>
      </c>
      <c r="G88" s="6" t="s">
        <v>233</v>
      </c>
      <c r="H88" s="6" t="s">
        <v>234</v>
      </c>
      <c r="I88" s="7" t="n">
        <v>1</v>
      </c>
      <c r="J88" s="6"/>
    </row>
    <row r="89" customFormat="false" ht="15" hidden="false" customHeight="false" outlineLevel="0" collapsed="false">
      <c r="A89" s="6" t="s">
        <v>95</v>
      </c>
      <c r="B89" s="6" t="s">
        <v>235</v>
      </c>
      <c r="C89" s="6" t="s">
        <v>236</v>
      </c>
      <c r="D89" s="6" t="s">
        <v>237</v>
      </c>
      <c r="E89" s="6" t="s">
        <v>163</v>
      </c>
      <c r="F89" s="6" t="s">
        <v>100</v>
      </c>
      <c r="G89" s="6" t="s">
        <v>238</v>
      </c>
      <c r="H89" s="6" t="s">
        <v>239</v>
      </c>
      <c r="I89" s="7" t="n">
        <v>2</v>
      </c>
      <c r="J89" s="6"/>
    </row>
    <row r="90" customFormat="false" ht="15" hidden="false" customHeight="false" outlineLevel="0" collapsed="false">
      <c r="A90" s="6" t="s">
        <v>95</v>
      </c>
      <c r="B90" s="6" t="s">
        <v>235</v>
      </c>
      <c r="C90" s="6" t="s">
        <v>236</v>
      </c>
      <c r="D90" s="6" t="s">
        <v>237</v>
      </c>
      <c r="E90" s="6" t="s">
        <v>163</v>
      </c>
      <c r="F90" s="6" t="s">
        <v>100</v>
      </c>
      <c r="G90" s="6" t="s">
        <v>240</v>
      </c>
      <c r="H90" s="6" t="s">
        <v>241</v>
      </c>
      <c r="I90" s="7" t="n">
        <v>2</v>
      </c>
      <c r="J90" s="6"/>
    </row>
    <row r="91" customFormat="false" ht="15" hidden="false" customHeight="false" outlineLevel="0" collapsed="false">
      <c r="A91" s="2" t="s">
        <v>10</v>
      </c>
      <c r="B91" s="2" t="s">
        <v>242</v>
      </c>
      <c r="C91" s="2" t="s">
        <v>243</v>
      </c>
      <c r="D91" s="2" t="s">
        <v>244</v>
      </c>
      <c r="E91" s="2" t="s">
        <v>245</v>
      </c>
      <c r="F91" s="2" t="s">
        <v>246</v>
      </c>
      <c r="G91" s="2" t="s">
        <v>247</v>
      </c>
      <c r="H91" s="2" t="s">
        <v>248</v>
      </c>
      <c r="I91" s="3" t="n">
        <v>2</v>
      </c>
      <c r="J91" s="2"/>
    </row>
    <row r="92" customFormat="false" ht="15" hidden="false" customHeight="false" outlineLevel="0" collapsed="false">
      <c r="A92" s="2" t="s">
        <v>10</v>
      </c>
      <c r="B92" s="2" t="s">
        <v>242</v>
      </c>
      <c r="C92" s="2" t="s">
        <v>243</v>
      </c>
      <c r="D92" s="2" t="s">
        <v>244</v>
      </c>
      <c r="E92" s="2" t="s">
        <v>245</v>
      </c>
      <c r="F92" s="2" t="s">
        <v>246</v>
      </c>
      <c r="G92" s="2" t="s">
        <v>249</v>
      </c>
      <c r="H92" s="2" t="s">
        <v>250</v>
      </c>
      <c r="I92" s="3" t="n">
        <v>5</v>
      </c>
      <c r="J92" s="2"/>
    </row>
    <row r="93" customFormat="false" ht="15" hidden="false" customHeight="false" outlineLevel="0" collapsed="false">
      <c r="A93" s="2" t="s">
        <v>10</v>
      </c>
      <c r="B93" s="2" t="s">
        <v>251</v>
      </c>
      <c r="C93" s="2" t="s">
        <v>243</v>
      </c>
      <c r="D93" s="2" t="s">
        <v>244</v>
      </c>
      <c r="E93" s="2" t="s">
        <v>245</v>
      </c>
      <c r="F93" s="2" t="s">
        <v>246</v>
      </c>
      <c r="G93" s="2" t="s">
        <v>249</v>
      </c>
      <c r="H93" s="2" t="s">
        <v>250</v>
      </c>
      <c r="I93" s="3" t="n">
        <v>5</v>
      </c>
      <c r="J93" s="2"/>
    </row>
    <row r="94" customFormat="false" ht="15" hidden="false" customHeight="false" outlineLevel="0" collapsed="false">
      <c r="A94" s="2" t="s">
        <v>10</v>
      </c>
      <c r="B94" s="2" t="s">
        <v>252</v>
      </c>
      <c r="C94" s="2" t="s">
        <v>253</v>
      </c>
      <c r="D94" s="2" t="s">
        <v>254</v>
      </c>
      <c r="E94" s="2" t="s">
        <v>255</v>
      </c>
      <c r="F94" s="2" t="s">
        <v>246</v>
      </c>
      <c r="G94" s="2" t="s">
        <v>256</v>
      </c>
      <c r="H94" s="2" t="s">
        <v>257</v>
      </c>
      <c r="I94" s="3" t="n">
        <v>1</v>
      </c>
      <c r="J94" s="2"/>
    </row>
    <row r="95" customFormat="false" ht="15" hidden="false" customHeight="false" outlineLevel="0" collapsed="false">
      <c r="A95" s="2" t="s">
        <v>10</v>
      </c>
      <c r="B95" s="2" t="s">
        <v>252</v>
      </c>
      <c r="C95" s="2" t="s">
        <v>253</v>
      </c>
      <c r="D95" s="2" t="s">
        <v>254</v>
      </c>
      <c r="E95" s="2" t="s">
        <v>255</v>
      </c>
      <c r="F95" s="2" t="s">
        <v>246</v>
      </c>
      <c r="G95" s="2" t="s">
        <v>258</v>
      </c>
      <c r="H95" s="2" t="s">
        <v>259</v>
      </c>
      <c r="I95" s="3" t="n">
        <v>1</v>
      </c>
      <c r="J95" s="2"/>
    </row>
    <row r="96" customFormat="false" ht="15" hidden="false" customHeight="false" outlineLevel="0" collapsed="false">
      <c r="A96" s="6" t="s">
        <v>95</v>
      </c>
      <c r="B96" s="6" t="s">
        <v>260</v>
      </c>
      <c r="C96" s="6" t="s">
        <v>261</v>
      </c>
      <c r="D96" s="6" t="s">
        <v>262</v>
      </c>
      <c r="E96" s="6" t="s">
        <v>263</v>
      </c>
      <c r="F96" s="6" t="s">
        <v>264</v>
      </c>
      <c r="G96" s="6" t="s">
        <v>219</v>
      </c>
      <c r="H96" s="6" t="s">
        <v>220</v>
      </c>
      <c r="I96" s="7" t="n">
        <v>1</v>
      </c>
      <c r="J96" s="6"/>
    </row>
    <row r="97" customFormat="false" ht="15" hidden="false" customHeight="false" outlineLevel="0" collapsed="false">
      <c r="A97" s="6" t="s">
        <v>95</v>
      </c>
      <c r="B97" s="6" t="s">
        <v>260</v>
      </c>
      <c r="C97" s="6" t="s">
        <v>261</v>
      </c>
      <c r="D97" s="6" t="s">
        <v>262</v>
      </c>
      <c r="E97" s="6" t="s">
        <v>263</v>
      </c>
      <c r="F97" s="6" t="s">
        <v>264</v>
      </c>
      <c r="G97" s="6" t="s">
        <v>221</v>
      </c>
      <c r="H97" s="6" t="s">
        <v>222</v>
      </c>
      <c r="I97" s="7" t="n">
        <v>1</v>
      </c>
      <c r="J97" s="6"/>
    </row>
    <row r="98" customFormat="false" ht="15" hidden="false" customHeight="false" outlineLevel="0" collapsed="false">
      <c r="A98" s="2" t="s">
        <v>10</v>
      </c>
      <c r="B98" s="2" t="s">
        <v>265</v>
      </c>
      <c r="C98" s="2" t="s">
        <v>266</v>
      </c>
      <c r="D98" s="2" t="s">
        <v>267</v>
      </c>
      <c r="E98" s="2" t="s">
        <v>255</v>
      </c>
      <c r="F98" s="2" t="s">
        <v>246</v>
      </c>
      <c r="G98" s="2" t="s">
        <v>219</v>
      </c>
      <c r="H98" s="2" t="s">
        <v>220</v>
      </c>
      <c r="I98" s="3" t="n">
        <v>1</v>
      </c>
      <c r="J98" s="2"/>
    </row>
    <row r="99" customFormat="false" ht="15" hidden="false" customHeight="false" outlineLevel="0" collapsed="false">
      <c r="A99" s="2" t="s">
        <v>10</v>
      </c>
      <c r="B99" s="2" t="s">
        <v>265</v>
      </c>
      <c r="C99" s="2" t="s">
        <v>266</v>
      </c>
      <c r="D99" s="2" t="s">
        <v>267</v>
      </c>
      <c r="E99" s="2" t="s">
        <v>255</v>
      </c>
      <c r="F99" s="2" t="s">
        <v>246</v>
      </c>
      <c r="G99" s="2" t="s">
        <v>221</v>
      </c>
      <c r="H99" s="2" t="s">
        <v>222</v>
      </c>
      <c r="I99" s="3" t="n">
        <v>1</v>
      </c>
      <c r="J99" s="2"/>
    </row>
    <row r="100" customFormat="false" ht="15" hidden="false" customHeight="false" outlineLevel="0" collapsed="false">
      <c r="A100" s="6" t="s">
        <v>95</v>
      </c>
      <c r="B100" s="6" t="s">
        <v>268</v>
      </c>
      <c r="C100" s="6" t="s">
        <v>269</v>
      </c>
      <c r="D100" s="6" t="s">
        <v>270</v>
      </c>
      <c r="E100" s="6" t="s">
        <v>271</v>
      </c>
      <c r="F100" s="6" t="s">
        <v>100</v>
      </c>
      <c r="G100" s="6" t="s">
        <v>272</v>
      </c>
      <c r="H100" s="6" t="s">
        <v>273</v>
      </c>
      <c r="I100" s="7" t="n">
        <v>1</v>
      </c>
      <c r="J100" s="6"/>
    </row>
    <row r="101" customFormat="false" ht="15" hidden="false" customHeight="false" outlineLevel="0" collapsed="false">
      <c r="A101" s="6" t="s">
        <v>95</v>
      </c>
      <c r="B101" s="6" t="s">
        <v>268</v>
      </c>
      <c r="C101" s="6" t="s">
        <v>269</v>
      </c>
      <c r="D101" s="6" t="s">
        <v>270</v>
      </c>
      <c r="E101" s="6" t="s">
        <v>271</v>
      </c>
      <c r="F101" s="6" t="s">
        <v>100</v>
      </c>
      <c r="G101" s="6" t="s">
        <v>274</v>
      </c>
      <c r="H101" s="6" t="s">
        <v>275</v>
      </c>
      <c r="I101" s="7" t="n">
        <v>1</v>
      </c>
      <c r="J101" s="6"/>
    </row>
    <row r="102" customFormat="false" ht="15" hidden="false" customHeight="false" outlineLevel="0" collapsed="false">
      <c r="A102" s="6" t="s">
        <v>95</v>
      </c>
      <c r="B102" s="6" t="s">
        <v>276</v>
      </c>
      <c r="C102" s="6" t="s">
        <v>277</v>
      </c>
      <c r="D102" s="6" t="s">
        <v>278</v>
      </c>
      <c r="E102" s="6" t="s">
        <v>279</v>
      </c>
      <c r="F102" s="6" t="s">
        <v>280</v>
      </c>
      <c r="G102" s="6" t="s">
        <v>219</v>
      </c>
      <c r="H102" s="6" t="s">
        <v>220</v>
      </c>
      <c r="I102" s="7" t="n">
        <v>1</v>
      </c>
      <c r="J102" s="6"/>
    </row>
    <row r="103" customFormat="false" ht="15" hidden="false" customHeight="false" outlineLevel="0" collapsed="false">
      <c r="A103" s="6" t="s">
        <v>95</v>
      </c>
      <c r="B103" s="6" t="s">
        <v>276</v>
      </c>
      <c r="C103" s="6" t="s">
        <v>277</v>
      </c>
      <c r="D103" s="6" t="s">
        <v>278</v>
      </c>
      <c r="E103" s="6" t="s">
        <v>279</v>
      </c>
      <c r="F103" s="6" t="s">
        <v>280</v>
      </c>
      <c r="G103" s="6" t="s">
        <v>221</v>
      </c>
      <c r="H103" s="6" t="s">
        <v>222</v>
      </c>
      <c r="I103" s="7" t="n">
        <v>1</v>
      </c>
      <c r="J103" s="6"/>
    </row>
    <row r="104" customFormat="false" ht="15" hidden="false" customHeight="false" outlineLevel="0" collapsed="false">
      <c r="A104" s="6" t="s">
        <v>95</v>
      </c>
      <c r="B104" s="6" t="s">
        <v>281</v>
      </c>
      <c r="C104" s="6" t="s">
        <v>282</v>
      </c>
      <c r="D104" s="6" t="s">
        <v>267</v>
      </c>
      <c r="E104" s="6" t="s">
        <v>283</v>
      </c>
      <c r="F104" s="6" t="s">
        <v>284</v>
      </c>
      <c r="G104" s="6" t="s">
        <v>219</v>
      </c>
      <c r="H104" s="6" t="s">
        <v>220</v>
      </c>
      <c r="I104" s="7" t="n">
        <v>1</v>
      </c>
      <c r="J104" s="6"/>
    </row>
    <row r="105" customFormat="false" ht="15" hidden="false" customHeight="false" outlineLevel="0" collapsed="false">
      <c r="A105" s="6" t="s">
        <v>95</v>
      </c>
      <c r="B105" s="6" t="s">
        <v>281</v>
      </c>
      <c r="C105" s="6" t="s">
        <v>282</v>
      </c>
      <c r="D105" s="6" t="s">
        <v>267</v>
      </c>
      <c r="E105" s="6" t="s">
        <v>283</v>
      </c>
      <c r="F105" s="6" t="s">
        <v>284</v>
      </c>
      <c r="G105" s="6" t="s">
        <v>221</v>
      </c>
      <c r="H105" s="6" t="s">
        <v>222</v>
      </c>
      <c r="I105" s="7" t="n">
        <v>1</v>
      </c>
      <c r="J105" s="6"/>
    </row>
    <row r="106" customFormat="false" ht="15" hidden="false" customHeight="false" outlineLevel="0" collapsed="false">
      <c r="A106" s="6" t="s">
        <v>95</v>
      </c>
      <c r="B106" s="6" t="s">
        <v>285</v>
      </c>
      <c r="C106" s="6" t="s">
        <v>286</v>
      </c>
      <c r="D106" s="6" t="s">
        <v>287</v>
      </c>
      <c r="E106" s="6" t="s">
        <v>111</v>
      </c>
      <c r="F106" s="6" t="s">
        <v>125</v>
      </c>
      <c r="G106" s="6" t="s">
        <v>288</v>
      </c>
      <c r="H106" s="6" t="s">
        <v>289</v>
      </c>
      <c r="I106" s="7" t="n">
        <v>1</v>
      </c>
      <c r="J106" s="6"/>
    </row>
    <row r="107" customFormat="false" ht="15" hidden="false" customHeight="false" outlineLevel="0" collapsed="false">
      <c r="A107" s="6" t="s">
        <v>95</v>
      </c>
      <c r="B107" s="6" t="s">
        <v>290</v>
      </c>
      <c r="C107" s="6" t="s">
        <v>291</v>
      </c>
      <c r="D107" s="6" t="s">
        <v>267</v>
      </c>
      <c r="E107" s="6" t="s">
        <v>217</v>
      </c>
      <c r="F107" s="6" t="s">
        <v>284</v>
      </c>
      <c r="G107" s="6" t="s">
        <v>219</v>
      </c>
      <c r="H107" s="6" t="s">
        <v>220</v>
      </c>
      <c r="I107" s="7" t="n">
        <v>1</v>
      </c>
      <c r="J107" s="6"/>
    </row>
    <row r="108" customFormat="false" ht="15" hidden="false" customHeight="false" outlineLevel="0" collapsed="false">
      <c r="A108" s="6" t="s">
        <v>95</v>
      </c>
      <c r="B108" s="6" t="s">
        <v>290</v>
      </c>
      <c r="C108" s="6" t="s">
        <v>291</v>
      </c>
      <c r="D108" s="6" t="s">
        <v>267</v>
      </c>
      <c r="E108" s="6" t="s">
        <v>217</v>
      </c>
      <c r="F108" s="6" t="s">
        <v>284</v>
      </c>
      <c r="G108" s="6" t="s">
        <v>221</v>
      </c>
      <c r="H108" s="6" t="s">
        <v>222</v>
      </c>
      <c r="I108" s="7" t="n">
        <v>1</v>
      </c>
      <c r="J108" s="6"/>
    </row>
    <row r="109" customFormat="false" ht="15" hidden="false" customHeight="false" outlineLevel="0" collapsed="false">
      <c r="A109" s="6" t="s">
        <v>95</v>
      </c>
      <c r="B109" s="6" t="s">
        <v>292</v>
      </c>
      <c r="C109" s="6" t="s">
        <v>293</v>
      </c>
      <c r="D109" s="6" t="s">
        <v>294</v>
      </c>
      <c r="E109" s="6" t="s">
        <v>263</v>
      </c>
      <c r="F109" s="6" t="s">
        <v>100</v>
      </c>
      <c r="G109" s="6" t="s">
        <v>178</v>
      </c>
      <c r="H109" s="6" t="s">
        <v>179</v>
      </c>
      <c r="I109" s="7" t="n">
        <v>1</v>
      </c>
      <c r="J109" s="6"/>
    </row>
    <row r="110" customFormat="false" ht="15" hidden="false" customHeight="false" outlineLevel="0" collapsed="false">
      <c r="A110" s="6" t="s">
        <v>95</v>
      </c>
      <c r="B110" s="6" t="s">
        <v>292</v>
      </c>
      <c r="C110" s="6" t="s">
        <v>293</v>
      </c>
      <c r="D110" s="6" t="s">
        <v>294</v>
      </c>
      <c r="E110" s="6" t="s">
        <v>263</v>
      </c>
      <c r="F110" s="6" t="s">
        <v>100</v>
      </c>
      <c r="G110" s="6" t="s">
        <v>295</v>
      </c>
      <c r="H110" s="6" t="s">
        <v>296</v>
      </c>
      <c r="I110" s="7" t="n">
        <v>1</v>
      </c>
      <c r="J110" s="6"/>
    </row>
    <row r="111" customFormat="false" ht="15" hidden="false" customHeight="false" outlineLevel="0" collapsed="false">
      <c r="A111" s="6" t="s">
        <v>95</v>
      </c>
      <c r="B111" s="6" t="s">
        <v>297</v>
      </c>
      <c r="C111" s="6" t="s">
        <v>298</v>
      </c>
      <c r="D111" s="6" t="s">
        <v>269</v>
      </c>
      <c r="E111" s="6" t="s">
        <v>111</v>
      </c>
      <c r="F111" s="6" t="s">
        <v>125</v>
      </c>
      <c r="G111" s="6" t="s">
        <v>74</v>
      </c>
      <c r="H111" s="6" t="s">
        <v>75</v>
      </c>
      <c r="I111" s="7" t="n">
        <v>2</v>
      </c>
      <c r="J111" s="6"/>
    </row>
    <row r="112" customFormat="false" ht="15" hidden="false" customHeight="false" outlineLevel="0" collapsed="false">
      <c r="A112" s="6" t="s">
        <v>95</v>
      </c>
      <c r="B112" s="6" t="s">
        <v>299</v>
      </c>
      <c r="C112" s="6" t="s">
        <v>298</v>
      </c>
      <c r="D112" s="6" t="s">
        <v>269</v>
      </c>
      <c r="E112" s="6" t="s">
        <v>111</v>
      </c>
      <c r="F112" s="6" t="s">
        <v>125</v>
      </c>
      <c r="G112" s="6" t="s">
        <v>74</v>
      </c>
      <c r="H112" s="6" t="s">
        <v>75</v>
      </c>
      <c r="I112" s="7" t="n">
        <v>1</v>
      </c>
      <c r="J112" s="6"/>
    </row>
    <row r="113" customFormat="false" ht="15" hidden="false" customHeight="false" outlineLevel="0" collapsed="false">
      <c r="A113" s="6" t="s">
        <v>95</v>
      </c>
      <c r="B113" s="6" t="s">
        <v>300</v>
      </c>
      <c r="C113" s="6" t="s">
        <v>301</v>
      </c>
      <c r="D113" s="6" t="s">
        <v>269</v>
      </c>
      <c r="E113" s="6" t="s">
        <v>111</v>
      </c>
      <c r="F113" s="6" t="s">
        <v>125</v>
      </c>
      <c r="G113" s="6" t="s">
        <v>302</v>
      </c>
      <c r="H113" s="6" t="s">
        <v>303</v>
      </c>
      <c r="I113" s="7" t="n">
        <v>1</v>
      </c>
      <c r="J113" s="6"/>
    </row>
    <row r="114" customFormat="false" ht="15" hidden="false" customHeight="false" outlineLevel="0" collapsed="false">
      <c r="A114" s="6" t="s">
        <v>95</v>
      </c>
      <c r="B114" s="6" t="s">
        <v>300</v>
      </c>
      <c r="C114" s="6" t="s">
        <v>301</v>
      </c>
      <c r="D114" s="6" t="s">
        <v>269</v>
      </c>
      <c r="E114" s="6" t="s">
        <v>111</v>
      </c>
      <c r="F114" s="6" t="s">
        <v>125</v>
      </c>
      <c r="G114" s="6" t="s">
        <v>72</v>
      </c>
      <c r="H114" s="6" t="s">
        <v>73</v>
      </c>
      <c r="I114" s="7" t="n">
        <v>16</v>
      </c>
      <c r="J114" s="6"/>
    </row>
    <row r="115" customFormat="false" ht="15" hidden="false" customHeight="false" outlineLevel="0" collapsed="false">
      <c r="A115" s="6" t="s">
        <v>95</v>
      </c>
      <c r="B115" s="6" t="s">
        <v>300</v>
      </c>
      <c r="C115" s="6" t="s">
        <v>301</v>
      </c>
      <c r="D115" s="6" t="s">
        <v>269</v>
      </c>
      <c r="E115" s="6" t="s">
        <v>111</v>
      </c>
      <c r="F115" s="6" t="s">
        <v>125</v>
      </c>
      <c r="G115" s="6" t="s">
        <v>304</v>
      </c>
      <c r="H115" s="6" t="s">
        <v>305</v>
      </c>
      <c r="I115" s="7" t="n">
        <v>1</v>
      </c>
      <c r="J115" s="6"/>
    </row>
    <row r="116" customFormat="false" ht="15" hidden="false" customHeight="false" outlineLevel="0" collapsed="false">
      <c r="A116" s="6" t="s">
        <v>95</v>
      </c>
      <c r="B116" s="6" t="s">
        <v>306</v>
      </c>
      <c r="C116" s="6" t="s">
        <v>307</v>
      </c>
      <c r="D116" s="6" t="s">
        <v>308</v>
      </c>
      <c r="E116" s="6" t="s">
        <v>111</v>
      </c>
      <c r="F116" s="6" t="s">
        <v>100</v>
      </c>
      <c r="G116" s="6" t="s">
        <v>178</v>
      </c>
      <c r="H116" s="6" t="s">
        <v>179</v>
      </c>
      <c r="I116" s="7" t="n">
        <v>1</v>
      </c>
      <c r="J116" s="6"/>
    </row>
    <row r="117" customFormat="false" ht="15" hidden="false" customHeight="false" outlineLevel="0" collapsed="false">
      <c r="A117" s="6" t="s">
        <v>95</v>
      </c>
      <c r="B117" s="6" t="s">
        <v>306</v>
      </c>
      <c r="C117" s="6" t="s">
        <v>307</v>
      </c>
      <c r="D117" s="6" t="s">
        <v>308</v>
      </c>
      <c r="E117" s="6" t="s">
        <v>111</v>
      </c>
      <c r="F117" s="6" t="s">
        <v>100</v>
      </c>
      <c r="G117" s="6" t="s">
        <v>309</v>
      </c>
      <c r="H117" s="6" t="s">
        <v>310</v>
      </c>
      <c r="I117" s="7" t="n">
        <v>1</v>
      </c>
      <c r="J117" s="6"/>
    </row>
    <row r="118" customFormat="false" ht="15" hidden="false" customHeight="false" outlineLevel="0" collapsed="false">
      <c r="A118" s="6" t="s">
        <v>95</v>
      </c>
      <c r="B118" s="6" t="s">
        <v>311</v>
      </c>
      <c r="C118" s="6" t="s">
        <v>312</v>
      </c>
      <c r="D118" s="6" t="s">
        <v>313</v>
      </c>
      <c r="E118" s="6" t="s">
        <v>217</v>
      </c>
      <c r="F118" s="6" t="s">
        <v>314</v>
      </c>
      <c r="G118" s="6" t="s">
        <v>219</v>
      </c>
      <c r="H118" s="6" t="s">
        <v>220</v>
      </c>
      <c r="I118" s="7" t="n">
        <v>1</v>
      </c>
      <c r="J118" s="6"/>
    </row>
    <row r="119" customFormat="false" ht="15" hidden="false" customHeight="false" outlineLevel="0" collapsed="false">
      <c r="A119" s="6" t="s">
        <v>95</v>
      </c>
      <c r="B119" s="6" t="s">
        <v>311</v>
      </c>
      <c r="C119" s="6" t="s">
        <v>312</v>
      </c>
      <c r="D119" s="6" t="s">
        <v>313</v>
      </c>
      <c r="E119" s="6" t="s">
        <v>217</v>
      </c>
      <c r="F119" s="6" t="s">
        <v>314</v>
      </c>
      <c r="G119" s="6" t="s">
        <v>221</v>
      </c>
      <c r="H119" s="6" t="s">
        <v>222</v>
      </c>
      <c r="I119" s="7" t="n">
        <v>1</v>
      </c>
      <c r="J119" s="6"/>
    </row>
    <row r="120" customFormat="false" ht="15" hidden="false" customHeight="false" outlineLevel="0" collapsed="false">
      <c r="A120" s="6" t="s">
        <v>95</v>
      </c>
      <c r="B120" s="6" t="s">
        <v>315</v>
      </c>
      <c r="C120" s="6" t="s">
        <v>316</v>
      </c>
      <c r="D120" s="6" t="s">
        <v>317</v>
      </c>
      <c r="E120" s="6" t="s">
        <v>217</v>
      </c>
      <c r="F120" s="6" t="s">
        <v>314</v>
      </c>
      <c r="G120" s="6" t="s">
        <v>219</v>
      </c>
      <c r="H120" s="6" t="s">
        <v>220</v>
      </c>
      <c r="I120" s="7" t="n">
        <v>1</v>
      </c>
      <c r="J120" s="6"/>
    </row>
    <row r="121" customFormat="false" ht="15" hidden="false" customHeight="false" outlineLevel="0" collapsed="false">
      <c r="A121" s="6" t="s">
        <v>95</v>
      </c>
      <c r="B121" s="6" t="s">
        <v>315</v>
      </c>
      <c r="C121" s="6" t="s">
        <v>316</v>
      </c>
      <c r="D121" s="6" t="s">
        <v>317</v>
      </c>
      <c r="E121" s="6" t="s">
        <v>217</v>
      </c>
      <c r="F121" s="6" t="s">
        <v>314</v>
      </c>
      <c r="G121" s="6" t="s">
        <v>221</v>
      </c>
      <c r="H121" s="6" t="s">
        <v>222</v>
      </c>
      <c r="I121" s="7" t="n">
        <v>1</v>
      </c>
      <c r="J121" s="6"/>
    </row>
    <row r="122" customFormat="false" ht="15" hidden="false" customHeight="false" outlineLevel="0" collapsed="false">
      <c r="A122" s="6" t="s">
        <v>95</v>
      </c>
      <c r="B122" s="6" t="s">
        <v>318</v>
      </c>
      <c r="C122" s="6" t="s">
        <v>319</v>
      </c>
      <c r="D122" s="6" t="s">
        <v>301</v>
      </c>
      <c r="E122" s="6" t="s">
        <v>320</v>
      </c>
      <c r="F122" s="6" t="s">
        <v>100</v>
      </c>
      <c r="G122" s="6" t="s">
        <v>115</v>
      </c>
      <c r="H122" s="6" t="s">
        <v>116</v>
      </c>
      <c r="I122" s="7" t="n">
        <v>2</v>
      </c>
      <c r="J122" s="6"/>
    </row>
    <row r="123" customFormat="false" ht="15" hidden="false" customHeight="false" outlineLevel="0" collapsed="false">
      <c r="A123" s="4" t="s">
        <v>82</v>
      </c>
      <c r="B123" s="4" t="s">
        <v>321</v>
      </c>
      <c r="C123" s="4" t="s">
        <v>322</v>
      </c>
      <c r="D123" s="4" t="s">
        <v>323</v>
      </c>
      <c r="E123" s="4" t="s">
        <v>217</v>
      </c>
      <c r="F123" s="4" t="s">
        <v>284</v>
      </c>
      <c r="G123" s="4" t="s">
        <v>219</v>
      </c>
      <c r="H123" s="4" t="s">
        <v>220</v>
      </c>
      <c r="I123" s="5" t="n">
        <v>1</v>
      </c>
      <c r="J123" s="4"/>
    </row>
    <row r="124" customFormat="false" ht="15" hidden="false" customHeight="false" outlineLevel="0" collapsed="false">
      <c r="A124" s="4" t="s">
        <v>82</v>
      </c>
      <c r="B124" s="4" t="s">
        <v>321</v>
      </c>
      <c r="C124" s="4" t="s">
        <v>322</v>
      </c>
      <c r="D124" s="4" t="s">
        <v>323</v>
      </c>
      <c r="E124" s="4" t="s">
        <v>217</v>
      </c>
      <c r="F124" s="4" t="s">
        <v>284</v>
      </c>
      <c r="G124" s="4" t="s">
        <v>221</v>
      </c>
      <c r="H124" s="4" t="s">
        <v>222</v>
      </c>
      <c r="I124" s="5" t="n">
        <v>1</v>
      </c>
      <c r="J124" s="4"/>
    </row>
    <row r="125" customFormat="false" ht="15" hidden="false" customHeight="false" outlineLevel="0" collapsed="false">
      <c r="A125" s="6" t="s">
        <v>95</v>
      </c>
      <c r="B125" s="6" t="s">
        <v>324</v>
      </c>
      <c r="C125" s="6" t="s">
        <v>322</v>
      </c>
      <c r="D125" s="6" t="s">
        <v>325</v>
      </c>
      <c r="E125" s="6" t="s">
        <v>111</v>
      </c>
      <c r="F125" s="6" t="s">
        <v>100</v>
      </c>
      <c r="G125" s="6" t="s">
        <v>115</v>
      </c>
      <c r="H125" s="6" t="s">
        <v>116</v>
      </c>
      <c r="I125" s="7" t="n">
        <v>3</v>
      </c>
      <c r="J125" s="6"/>
    </row>
    <row r="126" customFormat="false" ht="15" hidden="false" customHeight="false" outlineLevel="0" collapsed="false">
      <c r="A126" s="6" t="s">
        <v>95</v>
      </c>
      <c r="B126" s="6" t="s">
        <v>324</v>
      </c>
      <c r="C126" s="6" t="s">
        <v>322</v>
      </c>
      <c r="D126" s="6" t="s">
        <v>325</v>
      </c>
      <c r="E126" s="6" t="s">
        <v>111</v>
      </c>
      <c r="F126" s="6" t="s">
        <v>100</v>
      </c>
      <c r="G126" s="6" t="s">
        <v>326</v>
      </c>
      <c r="H126" s="6" t="s">
        <v>327</v>
      </c>
      <c r="I126" s="7" t="n">
        <v>6</v>
      </c>
      <c r="J126" s="6"/>
    </row>
    <row r="127" customFormat="false" ht="15" hidden="false" customHeight="false" outlineLevel="0" collapsed="false">
      <c r="A127" s="6" t="s">
        <v>95</v>
      </c>
      <c r="B127" s="6" t="s">
        <v>324</v>
      </c>
      <c r="C127" s="6" t="s">
        <v>322</v>
      </c>
      <c r="D127" s="6" t="s">
        <v>325</v>
      </c>
      <c r="E127" s="6" t="s">
        <v>111</v>
      </c>
      <c r="F127" s="6" t="s">
        <v>100</v>
      </c>
      <c r="G127" s="6" t="s">
        <v>117</v>
      </c>
      <c r="H127" s="6" t="s">
        <v>118</v>
      </c>
      <c r="I127" s="7" t="n">
        <v>6</v>
      </c>
      <c r="J127" s="6"/>
    </row>
    <row r="128" customFormat="false" ht="15" hidden="false" customHeight="false" outlineLevel="0" collapsed="false">
      <c r="A128" s="6" t="s">
        <v>95</v>
      </c>
      <c r="B128" s="6" t="s">
        <v>328</v>
      </c>
      <c r="C128" s="6" t="s">
        <v>329</v>
      </c>
      <c r="D128" s="6" t="s">
        <v>330</v>
      </c>
      <c r="E128" s="6" t="s">
        <v>331</v>
      </c>
      <c r="F128" s="6" t="s">
        <v>125</v>
      </c>
      <c r="G128" s="6" t="s">
        <v>332</v>
      </c>
      <c r="H128" s="6" t="s">
        <v>333</v>
      </c>
      <c r="I128" s="7" t="n">
        <v>1</v>
      </c>
      <c r="J128" s="6"/>
    </row>
    <row r="129" customFormat="false" ht="15" hidden="false" customHeight="false" outlineLevel="0" collapsed="false">
      <c r="A129" s="6" t="s">
        <v>95</v>
      </c>
      <c r="B129" s="6" t="s">
        <v>328</v>
      </c>
      <c r="C129" s="6" t="s">
        <v>329</v>
      </c>
      <c r="D129" s="6" t="s">
        <v>330</v>
      </c>
      <c r="E129" s="6" t="s">
        <v>331</v>
      </c>
      <c r="F129" s="6" t="s">
        <v>125</v>
      </c>
      <c r="G129" s="6" t="s">
        <v>136</v>
      </c>
      <c r="H129" s="6" t="s">
        <v>137</v>
      </c>
      <c r="I129" s="7" t="n">
        <v>1</v>
      </c>
      <c r="J129" s="6"/>
    </row>
    <row r="130" customFormat="false" ht="15" hidden="false" customHeight="false" outlineLevel="0" collapsed="false">
      <c r="A130" s="6" t="s">
        <v>95</v>
      </c>
      <c r="B130" s="6" t="s">
        <v>334</v>
      </c>
      <c r="C130" s="6" t="s">
        <v>335</v>
      </c>
      <c r="D130" s="6" t="s">
        <v>335</v>
      </c>
      <c r="E130" s="6" t="s">
        <v>331</v>
      </c>
      <c r="F130" s="6" t="s">
        <v>125</v>
      </c>
      <c r="G130" s="6" t="s">
        <v>136</v>
      </c>
      <c r="H130" s="6" t="s">
        <v>137</v>
      </c>
      <c r="I130" s="7" t="n">
        <v>1</v>
      </c>
      <c r="J130" s="6"/>
    </row>
    <row r="131" customFormat="false" ht="15" hidden="false" customHeight="false" outlineLevel="0" collapsed="false">
      <c r="A131" s="6" t="s">
        <v>95</v>
      </c>
      <c r="B131" s="6" t="s">
        <v>334</v>
      </c>
      <c r="C131" s="6" t="s">
        <v>335</v>
      </c>
      <c r="D131" s="6" t="s">
        <v>335</v>
      </c>
      <c r="E131" s="6" t="s">
        <v>331</v>
      </c>
      <c r="F131" s="6" t="s">
        <v>125</v>
      </c>
      <c r="G131" s="6" t="s">
        <v>336</v>
      </c>
      <c r="H131" s="6" t="s">
        <v>337</v>
      </c>
      <c r="I131" s="7" t="n">
        <v>1</v>
      </c>
      <c r="J131" s="6"/>
    </row>
    <row r="132" customFormat="false" ht="15" hidden="false" customHeight="false" outlineLevel="0" collapsed="false">
      <c r="A132" s="6" t="s">
        <v>95</v>
      </c>
      <c r="B132" s="6" t="s">
        <v>338</v>
      </c>
      <c r="C132" s="6" t="s">
        <v>335</v>
      </c>
      <c r="D132" s="6" t="s">
        <v>339</v>
      </c>
      <c r="E132" s="6" t="s">
        <v>340</v>
      </c>
      <c r="F132" s="6" t="s">
        <v>100</v>
      </c>
      <c r="G132" s="6" t="s">
        <v>341</v>
      </c>
      <c r="H132" s="6" t="s">
        <v>342</v>
      </c>
      <c r="I132" s="7" t="n">
        <v>3</v>
      </c>
      <c r="J132" s="6"/>
    </row>
    <row r="133" customFormat="false" ht="15" hidden="false" customHeight="false" outlineLevel="0" collapsed="false">
      <c r="A133" s="6" t="s">
        <v>95</v>
      </c>
      <c r="B133" s="6" t="s">
        <v>343</v>
      </c>
      <c r="C133" s="6" t="s">
        <v>344</v>
      </c>
      <c r="D133" s="6" t="s">
        <v>345</v>
      </c>
      <c r="E133" s="6" t="s">
        <v>271</v>
      </c>
      <c r="F133" s="6" t="s">
        <v>346</v>
      </c>
      <c r="G133" s="6" t="s">
        <v>347</v>
      </c>
      <c r="H133" s="6" t="s">
        <v>348</v>
      </c>
      <c r="I133" s="7" t="n">
        <v>1</v>
      </c>
      <c r="J133" s="6"/>
    </row>
    <row r="134" customFormat="false" ht="15" hidden="false" customHeight="false" outlineLevel="0" collapsed="false">
      <c r="A134" s="6" t="s">
        <v>95</v>
      </c>
      <c r="B134" s="6" t="s">
        <v>343</v>
      </c>
      <c r="C134" s="6" t="s">
        <v>344</v>
      </c>
      <c r="D134" s="6" t="s">
        <v>345</v>
      </c>
      <c r="E134" s="6" t="s">
        <v>271</v>
      </c>
      <c r="F134" s="6" t="s">
        <v>346</v>
      </c>
      <c r="G134" s="6" t="s">
        <v>349</v>
      </c>
      <c r="H134" s="6" t="s">
        <v>350</v>
      </c>
      <c r="I134" s="7" t="n">
        <v>1</v>
      </c>
      <c r="J134" s="6"/>
    </row>
    <row r="135" customFormat="false" ht="15" hidden="false" customHeight="false" outlineLevel="0" collapsed="false">
      <c r="A135" s="6" t="s">
        <v>95</v>
      </c>
      <c r="B135" s="6" t="s">
        <v>351</v>
      </c>
      <c r="C135" s="6" t="s">
        <v>352</v>
      </c>
      <c r="D135" s="6" t="s">
        <v>312</v>
      </c>
      <c r="E135" s="6" t="s">
        <v>217</v>
      </c>
      <c r="F135" s="6" t="s">
        <v>353</v>
      </c>
      <c r="G135" s="6" t="s">
        <v>219</v>
      </c>
      <c r="H135" s="6" t="s">
        <v>220</v>
      </c>
      <c r="I135" s="7" t="n">
        <v>1</v>
      </c>
      <c r="J135" s="6"/>
    </row>
    <row r="136" customFormat="false" ht="15" hidden="false" customHeight="false" outlineLevel="0" collapsed="false">
      <c r="A136" s="6" t="s">
        <v>95</v>
      </c>
      <c r="B136" s="6" t="s">
        <v>351</v>
      </c>
      <c r="C136" s="6" t="s">
        <v>352</v>
      </c>
      <c r="D136" s="6" t="s">
        <v>312</v>
      </c>
      <c r="E136" s="6" t="s">
        <v>217</v>
      </c>
      <c r="F136" s="6" t="s">
        <v>353</v>
      </c>
      <c r="G136" s="6" t="s">
        <v>221</v>
      </c>
      <c r="H136" s="6" t="s">
        <v>222</v>
      </c>
      <c r="I136" s="7" t="n">
        <v>1</v>
      </c>
      <c r="J136" s="6"/>
    </row>
    <row r="137" customFormat="false" ht="15" hidden="false" customHeight="false" outlineLevel="0" collapsed="false">
      <c r="A137" s="6" t="s">
        <v>95</v>
      </c>
      <c r="B137" s="6" t="s">
        <v>354</v>
      </c>
      <c r="C137" s="6" t="s">
        <v>355</v>
      </c>
      <c r="D137" s="6" t="s">
        <v>356</v>
      </c>
      <c r="E137" s="6" t="s">
        <v>217</v>
      </c>
      <c r="F137" s="6" t="s">
        <v>357</v>
      </c>
      <c r="G137" s="6" t="s">
        <v>219</v>
      </c>
      <c r="H137" s="6" t="s">
        <v>220</v>
      </c>
      <c r="I137" s="7" t="n">
        <v>1</v>
      </c>
      <c r="J137" s="6"/>
    </row>
    <row r="138" customFormat="false" ht="15" hidden="false" customHeight="false" outlineLevel="0" collapsed="false">
      <c r="A138" s="6" t="s">
        <v>95</v>
      </c>
      <c r="B138" s="6" t="s">
        <v>354</v>
      </c>
      <c r="C138" s="6" t="s">
        <v>355</v>
      </c>
      <c r="D138" s="6" t="s">
        <v>356</v>
      </c>
      <c r="E138" s="6" t="s">
        <v>217</v>
      </c>
      <c r="F138" s="6" t="s">
        <v>357</v>
      </c>
      <c r="G138" s="6" t="s">
        <v>221</v>
      </c>
      <c r="H138" s="6" t="s">
        <v>222</v>
      </c>
      <c r="I138" s="7" t="n">
        <v>1</v>
      </c>
      <c r="J138" s="6"/>
    </row>
  </sheetData>
  <autoFilter ref="A1:J1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8" t="s">
        <v>358</v>
      </c>
    </row>
    <row r="2" customFormat="false" ht="15" hidden="false" customHeight="false" outlineLevel="0" collapsed="false">
      <c r="A2" s="9" t="s">
        <v>359</v>
      </c>
    </row>
    <row r="3" customFormat="false" ht="15" hidden="false" customHeight="false" outlineLevel="0" collapsed="false">
      <c r="A3" s="10" t="s">
        <v>360</v>
      </c>
    </row>
    <row r="5" customFormat="false" ht="15" hidden="false" customHeight="false" outlineLevel="0" collapsed="false">
      <c r="A5" s="11" t="s">
        <v>361</v>
      </c>
    </row>
    <row r="6" customFormat="false" ht="15" hidden="false" customHeight="false" outlineLevel="0" collapsed="false">
      <c r="A6" s="12" t="s">
        <v>10</v>
      </c>
      <c r="B6" s="12" t="n">
        <f aca="false">COUNTIF('UR Orders Sample'!A:A,"Quote")</f>
        <v>39</v>
      </c>
    </row>
    <row r="7" customFormat="false" ht="15" hidden="false" customHeight="false" outlineLevel="0" collapsed="false">
      <c r="A7" s="12" t="s">
        <v>82</v>
      </c>
      <c r="B7" s="12" t="n">
        <f aca="false">COUNTIF('UR Orders Sample'!A:A,"Open Contract")</f>
        <v>23</v>
      </c>
    </row>
    <row r="8" customFormat="false" ht="15" hidden="false" customHeight="false" outlineLevel="0" collapsed="false">
      <c r="A8" s="12" t="s">
        <v>95</v>
      </c>
      <c r="B8" s="12" t="n">
        <f aca="false">COUNTIF('UR Orders Sample'!A:A,"Closed Contract")</f>
        <v>75</v>
      </c>
    </row>
    <row r="9" customFormat="false" ht="15" hidden="false" customHeight="false" outlineLevel="0" collapsed="false">
      <c r="A9" s="12" t="s">
        <v>362</v>
      </c>
      <c r="B9" s="12" t="n">
        <f aca="false">COUNTA('UR Orders Sample'!B2:B10000)</f>
        <v>137</v>
      </c>
    </row>
    <row r="11" customFormat="false" ht="15" hidden="false" customHeight="false" outlineLevel="0" collapsed="false">
      <c r="A11" s="13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2026-07-27T06:10:31Z</dcterms:created>
  <dc:creator>openpyxl</dc:creator>
  <dc:description/>
  <dc:language>en-US</dc:language>
  <cp:lastModifiedBy/>
  <dcterms:modified xsi:type="dcterms:W3CDTF">2026-07-27T06:10:31Z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